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H:\ORCHIDEE\POC\GT RATB - Resistance bacterienne aux antibiotiques\RESISTANCE\labo bacterio rouen\"/>
    </mc:Choice>
  </mc:AlternateContent>
  <bookViews>
    <workbookView xWindow="240" yWindow="15" windowWidth="28380" windowHeight="13680"/>
  </bookViews>
  <sheets>
    <sheet name="Examens accrédités et ajouts" sheetId="1" r:id="rId1"/>
    <sheet name="Extensions demandées juin 2019" sheetId="24" r:id="rId2"/>
    <sheet name="Extensions demandées oct 2021" sheetId="25" r:id="rId3"/>
    <sheet name="Extensions demandées 2024" sheetId="26" r:id="rId4"/>
    <sheet name="Extensions demandées 2025" sheetId="29" r:id="rId5"/>
    <sheet name="FLEXI+" sheetId="15" r:id="rId6"/>
    <sheet name="EBMD" sheetId="20" r:id="rId7"/>
    <sheet name="EBMD Extension 2025" sheetId="28" r:id="rId8"/>
    <sheet name="FLEXI+ PP01" sheetId="27" r:id="rId9"/>
    <sheet name="FLEXI+ EXT 2019" sheetId="16" r:id="rId10"/>
    <sheet name="FLEXI+ EXT 2021" sheetId="17" r:id="rId11"/>
    <sheet name="FLEXI + EXT 2025" sheetId="30" r:id="rId12"/>
    <sheet name="INFO" sheetId="19" r:id="rId13"/>
    <sheet name="Feuil2" sheetId="2" r:id="rId14"/>
    <sheet name="Feuil3" sheetId="3" r:id="rId15"/>
    <sheet name="Feuil4" sheetId="4" r:id="rId16"/>
    <sheet name="Feuil5" sheetId="5" r:id="rId17"/>
    <sheet name="Feuil6" sheetId="6" r:id="rId18"/>
    <sheet name="Feuil7" sheetId="7" r:id="rId19"/>
    <sheet name="Feuil8" sheetId="8" r:id="rId20"/>
    <sheet name="Feuil9" sheetId="9" r:id="rId21"/>
    <sheet name="Feuil10" sheetId="10" r:id="rId22"/>
    <sheet name="Feuil11" sheetId="11" r:id="rId23"/>
    <sheet name="Feuil12" sheetId="12" r:id="rId24"/>
  </sheets>
  <externalReferences>
    <externalReference r:id="rId25"/>
  </externalReferences>
  <definedNames>
    <definedName name="_xlnm._FilterDatabase" localSheetId="0" hidden="1">'Examens accrédités et ajouts'!$A$14:$U$640</definedName>
    <definedName name="_xlnm._FilterDatabase" localSheetId="3" hidden="1">'Extensions demandées 2024'!$A$2:$P$5</definedName>
    <definedName name="_xlnm._FilterDatabase" localSheetId="4" hidden="1">'Extensions demandées 2025'!$A$2:$P$13</definedName>
    <definedName name="_xlnm._FilterDatabase" localSheetId="1" hidden="1">'Extensions demandées juin 2019'!$A$2:$P$5</definedName>
    <definedName name="_xlnm._FilterDatabase" localSheetId="2" hidden="1">'Extensions demandées oct 2021'!$A$2:$P$5</definedName>
    <definedName name="_xlnm._FilterDatabase" localSheetId="5" hidden="1">'FLEXI+'!$A$1:$G$768</definedName>
    <definedName name="_xlnm._FilterDatabase" localSheetId="8" hidden="1">'FLEXI+ PP01'!$A$1:$F$156</definedName>
    <definedName name="ACT_NAME_SIGN1" localSheetId="0">'Examens accrédités et ajouts'!$C$8</definedName>
    <definedName name="ACT_NAME_SIGN2" localSheetId="0">'Examens accrédités et ajouts'!$E$8</definedName>
    <definedName name="ACT_PARTICIPANTS_DATE_SIGN1" localSheetId="0">'Examens accrédités et ajouts'!$C$10</definedName>
    <definedName name="ACT_PARTICIPANTS_DATE_SIGN2" localSheetId="0">'Examens accrédités et ajouts'!$E$10</definedName>
    <definedName name="ACT_PARTICIPANTS_SIGN1" localSheetId="0">'Examens accrédités et ajouts'!$C$9</definedName>
    <definedName name="ACT_PARTICIPANTS_SIGN2" localSheetId="0">'Examens accrédités et ajouts'!$E$9</definedName>
    <definedName name="P_APPLICATION_DATE" localSheetId="0">'Examens accrédités et ajouts'!$F$2</definedName>
    <definedName name="P_REF" localSheetId="0">'Examens accrédités et ajouts'!$D$2</definedName>
    <definedName name="P_REVISION" localSheetId="0">'Examens accrédités et ajouts'!$E$2</definedName>
    <definedName name="P_REVISION_COMMENT" localSheetId="0">'Examens accrédités et ajouts'!$A$7</definedName>
    <definedName name="P_TITLE" localSheetId="0">'Examens accrédités et ajouts'!$A$4</definedName>
    <definedName name="P_TYPE" localSheetId="0">'Examens accrédités et ajouts'!$B$2</definedName>
    <definedName name="P_UNIT" localSheetId="0">'Examens accrédités et ajouts'!$B$3</definedName>
    <definedName name="Print_Area" localSheetId="5">'FLEXI+'!$C$1:$F$584</definedName>
    <definedName name="_xlnm.Print_Area" localSheetId="5">'FLEXI+'!$C$1:$F$584</definedName>
  </definedNames>
  <calcPr calcId="162913"/>
</workbook>
</file>

<file path=xl/calcChain.xml><?xml version="1.0" encoding="utf-8"?>
<calcChain xmlns="http://schemas.openxmlformats.org/spreadsheetml/2006/main">
  <c r="Q16" i="1" l="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A3" i="15" l="1"/>
  <c r="B3" i="15"/>
  <c r="C3" i="15"/>
  <c r="D3" i="15"/>
  <c r="F3" i="15"/>
  <c r="G3" i="15"/>
  <c r="A4" i="15"/>
  <c r="B4" i="15"/>
  <c r="C4" i="15"/>
  <c r="D4" i="15"/>
  <c r="F4" i="15"/>
  <c r="G4" i="15"/>
  <c r="A5" i="15"/>
  <c r="B5" i="15"/>
  <c r="C5" i="15"/>
  <c r="D5" i="15"/>
  <c r="F5" i="15"/>
  <c r="G5" i="15"/>
  <c r="A6" i="15"/>
  <c r="B6" i="15"/>
  <c r="C6" i="15"/>
  <c r="D6" i="15"/>
  <c r="F6" i="15"/>
  <c r="G6" i="15"/>
  <c r="A7" i="15"/>
  <c r="B7" i="15"/>
  <c r="C7" i="15"/>
  <c r="D7" i="15"/>
  <c r="F7" i="15"/>
  <c r="G7" i="15"/>
  <c r="A8" i="15"/>
  <c r="B8" i="15"/>
  <c r="C8" i="15"/>
  <c r="D8" i="15"/>
  <c r="F8" i="15"/>
  <c r="G8" i="15"/>
  <c r="A9" i="15"/>
  <c r="B9" i="15"/>
  <c r="C9" i="15"/>
  <c r="D9" i="15"/>
  <c r="F9" i="15"/>
  <c r="G9" i="15"/>
  <c r="A10" i="15"/>
  <c r="B10" i="15"/>
  <c r="C10" i="15"/>
  <c r="D10" i="15"/>
  <c r="F10" i="15"/>
  <c r="G10" i="15"/>
  <c r="A11" i="15"/>
  <c r="B11" i="15"/>
  <c r="C11" i="15"/>
  <c r="D11" i="15"/>
  <c r="F11" i="15"/>
  <c r="G11" i="15"/>
  <c r="A12" i="15"/>
  <c r="B12" i="15"/>
  <c r="C12" i="15"/>
  <c r="D12" i="15"/>
  <c r="F12" i="15"/>
  <c r="G12" i="15"/>
  <c r="A13" i="15"/>
  <c r="B13" i="15"/>
  <c r="C13" i="15"/>
  <c r="D13" i="15"/>
  <c r="F13" i="15"/>
  <c r="G13" i="15"/>
  <c r="A14" i="15"/>
  <c r="B14" i="15"/>
  <c r="C14" i="15"/>
  <c r="D14" i="15"/>
  <c r="F14" i="15"/>
  <c r="G14" i="15"/>
  <c r="A15" i="15"/>
  <c r="B15" i="15"/>
  <c r="C15" i="15"/>
  <c r="D15" i="15"/>
  <c r="F15" i="15"/>
  <c r="G15" i="15"/>
  <c r="A16" i="15"/>
  <c r="B16" i="15"/>
  <c r="C16" i="15"/>
  <c r="D16" i="15"/>
  <c r="F16" i="15"/>
  <c r="G16" i="15"/>
  <c r="A17" i="15"/>
  <c r="B17" i="15"/>
  <c r="C17" i="15"/>
  <c r="D17" i="15"/>
  <c r="F17" i="15"/>
  <c r="G17" i="15"/>
  <c r="A18" i="15"/>
  <c r="B18" i="15"/>
  <c r="C18" i="15"/>
  <c r="D18" i="15"/>
  <c r="F18" i="15"/>
  <c r="G18" i="15"/>
  <c r="A19" i="15"/>
  <c r="B19" i="15"/>
  <c r="C19" i="15"/>
  <c r="D19" i="15"/>
  <c r="F19" i="15"/>
  <c r="G19" i="15"/>
  <c r="A20" i="15"/>
  <c r="B20" i="15"/>
  <c r="C20" i="15"/>
  <c r="D20" i="15"/>
  <c r="F20" i="15"/>
  <c r="G20" i="15"/>
  <c r="A21" i="15"/>
  <c r="B21" i="15"/>
  <c r="C21" i="15"/>
  <c r="D21" i="15"/>
  <c r="F21" i="15"/>
  <c r="G21" i="15"/>
  <c r="A22" i="15"/>
  <c r="B22" i="15"/>
  <c r="C22" i="15"/>
  <c r="D22" i="15"/>
  <c r="F22" i="15"/>
  <c r="G22" i="15"/>
  <c r="A23" i="15"/>
  <c r="B23" i="15"/>
  <c r="C23" i="15"/>
  <c r="D23" i="15"/>
  <c r="F23" i="15"/>
  <c r="G23" i="15"/>
  <c r="A24" i="15"/>
  <c r="B24" i="15"/>
  <c r="C24" i="15"/>
  <c r="D24" i="15"/>
  <c r="F24" i="15"/>
  <c r="G24" i="15"/>
  <c r="A25" i="15"/>
  <c r="B25" i="15"/>
  <c r="C25" i="15"/>
  <c r="D25" i="15"/>
  <c r="F25" i="15"/>
  <c r="G25" i="15"/>
  <c r="A26" i="15"/>
  <c r="B26" i="15"/>
  <c r="C26" i="15"/>
  <c r="D26" i="15"/>
  <c r="F26" i="15"/>
  <c r="G26" i="15"/>
  <c r="A27" i="15"/>
  <c r="B27" i="15"/>
  <c r="C27" i="15"/>
  <c r="D27" i="15"/>
  <c r="F27" i="15"/>
  <c r="G27" i="15"/>
  <c r="A28" i="15"/>
  <c r="B28" i="15"/>
  <c r="C28" i="15"/>
  <c r="D28" i="15"/>
  <c r="F28" i="15"/>
  <c r="G28" i="15"/>
  <c r="A29" i="15"/>
  <c r="B29" i="15"/>
  <c r="C29" i="15"/>
  <c r="D29" i="15"/>
  <c r="F29" i="15"/>
  <c r="G29" i="15"/>
  <c r="A30" i="15"/>
  <c r="B30" i="15"/>
  <c r="C30" i="15"/>
  <c r="D30" i="15"/>
  <c r="F30" i="15"/>
  <c r="G30" i="15"/>
  <c r="A31" i="15"/>
  <c r="B31" i="15"/>
  <c r="C31" i="15"/>
  <c r="D31" i="15"/>
  <c r="F31" i="15"/>
  <c r="G31" i="15"/>
  <c r="A32" i="15"/>
  <c r="B32" i="15"/>
  <c r="C32" i="15"/>
  <c r="D32" i="15"/>
  <c r="F32" i="15"/>
  <c r="G32" i="15"/>
  <c r="A33" i="15"/>
  <c r="B33" i="15"/>
  <c r="C33" i="15"/>
  <c r="D33" i="15"/>
  <c r="F33" i="15"/>
  <c r="G33" i="15"/>
  <c r="A34" i="15"/>
  <c r="B34" i="15"/>
  <c r="C34" i="15"/>
  <c r="D34" i="15"/>
  <c r="F34" i="15"/>
  <c r="G34" i="15"/>
  <c r="A35" i="15"/>
  <c r="B35" i="15"/>
  <c r="C35" i="15"/>
  <c r="D35" i="15"/>
  <c r="F35" i="15"/>
  <c r="G35" i="15"/>
  <c r="A36" i="15"/>
  <c r="B36" i="15"/>
  <c r="C36" i="15"/>
  <c r="D36" i="15"/>
  <c r="F36" i="15"/>
  <c r="G36" i="15"/>
  <c r="A37" i="15"/>
  <c r="B37" i="15"/>
  <c r="C37" i="15"/>
  <c r="D37" i="15"/>
  <c r="F37" i="15"/>
  <c r="G37" i="15"/>
  <c r="A38" i="15"/>
  <c r="B38" i="15"/>
  <c r="C38" i="15"/>
  <c r="D38" i="15"/>
  <c r="F38" i="15"/>
  <c r="G38" i="15"/>
  <c r="A39" i="15"/>
  <c r="B39" i="15"/>
  <c r="C39" i="15"/>
  <c r="D39" i="15"/>
  <c r="F39" i="15"/>
  <c r="G39" i="15"/>
  <c r="A40" i="15"/>
  <c r="B40" i="15"/>
  <c r="C40" i="15"/>
  <c r="D40" i="15"/>
  <c r="F40" i="15"/>
  <c r="G40" i="15"/>
  <c r="A41" i="15"/>
  <c r="B41" i="15"/>
  <c r="C41" i="15"/>
  <c r="D41" i="15"/>
  <c r="F41" i="15"/>
  <c r="G41" i="15"/>
  <c r="A42" i="15"/>
  <c r="B42" i="15"/>
  <c r="C42" i="15"/>
  <c r="D42" i="15"/>
  <c r="F42" i="15"/>
  <c r="G42" i="15"/>
  <c r="A43" i="15"/>
  <c r="B43" i="15"/>
  <c r="C43" i="15"/>
  <c r="D43" i="15"/>
  <c r="F43" i="15"/>
  <c r="G43" i="15"/>
  <c r="A44" i="15"/>
  <c r="B44" i="15"/>
  <c r="C44" i="15"/>
  <c r="D44" i="15"/>
  <c r="F44" i="15"/>
  <c r="G44" i="15"/>
  <c r="A45" i="15"/>
  <c r="B45" i="15"/>
  <c r="C45" i="15"/>
  <c r="D45" i="15"/>
  <c r="F45" i="15"/>
  <c r="G45" i="15"/>
  <c r="A46" i="15"/>
  <c r="B46" i="15"/>
  <c r="C46" i="15"/>
  <c r="D46" i="15"/>
  <c r="F46" i="15"/>
  <c r="G46" i="15"/>
  <c r="A47" i="15"/>
  <c r="B47" i="15"/>
  <c r="C47" i="15"/>
  <c r="D47" i="15"/>
  <c r="F47" i="15"/>
  <c r="G47" i="15"/>
  <c r="A48" i="15"/>
  <c r="B48" i="15"/>
  <c r="C48" i="15"/>
  <c r="D48" i="15"/>
  <c r="F48" i="15"/>
  <c r="G48" i="15"/>
  <c r="A49" i="15"/>
  <c r="B49" i="15"/>
  <c r="C49" i="15"/>
  <c r="D49" i="15"/>
  <c r="F49" i="15"/>
  <c r="G49" i="15"/>
  <c r="A50" i="15"/>
  <c r="B50" i="15"/>
  <c r="C50" i="15"/>
  <c r="D50" i="15"/>
  <c r="F50" i="15"/>
  <c r="G50" i="15"/>
  <c r="A51" i="15"/>
  <c r="B51" i="15"/>
  <c r="C51" i="15"/>
  <c r="D51" i="15"/>
  <c r="F51" i="15"/>
  <c r="G51" i="15"/>
  <c r="A52" i="15"/>
  <c r="B52" i="15"/>
  <c r="C52" i="15"/>
  <c r="D52" i="15"/>
  <c r="F52" i="15"/>
  <c r="G52" i="15"/>
  <c r="A53" i="15"/>
  <c r="B53" i="15"/>
  <c r="C53" i="15"/>
  <c r="D53" i="15"/>
  <c r="F53" i="15"/>
  <c r="G53" i="15"/>
  <c r="A54" i="15"/>
  <c r="B54" i="15"/>
  <c r="C54" i="15"/>
  <c r="D54" i="15"/>
  <c r="F54" i="15"/>
  <c r="G54" i="15"/>
  <c r="A55" i="15"/>
  <c r="B55" i="15"/>
  <c r="C55" i="15"/>
  <c r="D55" i="15"/>
  <c r="F55" i="15"/>
  <c r="G55" i="15"/>
  <c r="A56" i="15"/>
  <c r="B56" i="15"/>
  <c r="C56" i="15"/>
  <c r="D56" i="15"/>
  <c r="F56" i="15"/>
  <c r="G56" i="15"/>
  <c r="A57" i="15"/>
  <c r="B57" i="15"/>
  <c r="C57" i="15"/>
  <c r="D57" i="15"/>
  <c r="F57" i="15"/>
  <c r="G57" i="15"/>
  <c r="A58" i="15"/>
  <c r="B58" i="15"/>
  <c r="C58" i="15"/>
  <c r="D58" i="15"/>
  <c r="F58" i="15"/>
  <c r="G58" i="15"/>
  <c r="A59" i="15"/>
  <c r="B59" i="15"/>
  <c r="C59" i="15"/>
  <c r="D59" i="15"/>
  <c r="F59" i="15"/>
  <c r="G59" i="15"/>
  <c r="A60" i="15"/>
  <c r="B60" i="15"/>
  <c r="C60" i="15"/>
  <c r="D60" i="15"/>
  <c r="F60" i="15"/>
  <c r="G60" i="15"/>
  <c r="A61" i="15"/>
  <c r="B61" i="15"/>
  <c r="C61" i="15"/>
  <c r="D61" i="15"/>
  <c r="F61" i="15"/>
  <c r="G61" i="15"/>
  <c r="A62" i="15"/>
  <c r="B62" i="15"/>
  <c r="C62" i="15"/>
  <c r="D62" i="15"/>
  <c r="F62" i="15"/>
  <c r="G62" i="15"/>
  <c r="A63" i="15"/>
  <c r="B63" i="15"/>
  <c r="C63" i="15"/>
  <c r="D63" i="15"/>
  <c r="F63" i="15"/>
  <c r="G63" i="15"/>
  <c r="A64" i="15"/>
  <c r="B64" i="15"/>
  <c r="C64" i="15"/>
  <c r="D64" i="15"/>
  <c r="F64" i="15"/>
  <c r="G64" i="15"/>
  <c r="A65" i="15"/>
  <c r="B65" i="15"/>
  <c r="C65" i="15"/>
  <c r="D65" i="15"/>
  <c r="F65" i="15"/>
  <c r="G65" i="15"/>
  <c r="A66" i="15"/>
  <c r="B66" i="15"/>
  <c r="C66" i="15"/>
  <c r="D66" i="15"/>
  <c r="F66" i="15"/>
  <c r="G66" i="15"/>
  <c r="A67" i="15"/>
  <c r="B67" i="15"/>
  <c r="C67" i="15"/>
  <c r="D67" i="15"/>
  <c r="F67" i="15"/>
  <c r="G67" i="15"/>
  <c r="A68" i="15"/>
  <c r="B68" i="15"/>
  <c r="C68" i="15"/>
  <c r="D68" i="15"/>
  <c r="F68" i="15"/>
  <c r="G68" i="15"/>
  <c r="A69" i="15"/>
  <c r="B69" i="15"/>
  <c r="C69" i="15"/>
  <c r="D69" i="15"/>
  <c r="F69" i="15"/>
  <c r="G69" i="15"/>
  <c r="A70" i="15"/>
  <c r="B70" i="15"/>
  <c r="C70" i="15"/>
  <c r="D70" i="15"/>
  <c r="F70" i="15"/>
  <c r="G70" i="15"/>
  <c r="A71" i="15"/>
  <c r="B71" i="15"/>
  <c r="C71" i="15"/>
  <c r="D71" i="15"/>
  <c r="F71" i="15"/>
  <c r="G71" i="15"/>
  <c r="A72" i="15"/>
  <c r="B72" i="15"/>
  <c r="C72" i="15"/>
  <c r="D72" i="15"/>
  <c r="F72" i="15"/>
  <c r="G72" i="15"/>
  <c r="A73" i="15"/>
  <c r="B73" i="15"/>
  <c r="C73" i="15"/>
  <c r="D73" i="15"/>
  <c r="F73" i="15"/>
  <c r="G73" i="15"/>
  <c r="A74" i="15"/>
  <c r="B74" i="15"/>
  <c r="C74" i="15"/>
  <c r="D74" i="15"/>
  <c r="F74" i="15"/>
  <c r="G74" i="15"/>
  <c r="A75" i="15"/>
  <c r="B75" i="15"/>
  <c r="C75" i="15"/>
  <c r="D75" i="15"/>
  <c r="F75" i="15"/>
  <c r="G75" i="15"/>
  <c r="A76" i="15"/>
  <c r="B76" i="15"/>
  <c r="C76" i="15"/>
  <c r="D76" i="15"/>
  <c r="F76" i="15"/>
  <c r="G76" i="15"/>
  <c r="A77" i="15"/>
  <c r="B77" i="15"/>
  <c r="C77" i="15"/>
  <c r="D77" i="15"/>
  <c r="F77" i="15"/>
  <c r="G77" i="15"/>
  <c r="A78" i="15"/>
  <c r="B78" i="15"/>
  <c r="C78" i="15"/>
  <c r="D78" i="15"/>
  <c r="F78" i="15"/>
  <c r="G78" i="15"/>
  <c r="A79" i="15"/>
  <c r="B79" i="15"/>
  <c r="C79" i="15"/>
  <c r="D79" i="15"/>
  <c r="F79" i="15"/>
  <c r="G79" i="15"/>
  <c r="A80" i="15"/>
  <c r="B80" i="15"/>
  <c r="C80" i="15"/>
  <c r="D80" i="15"/>
  <c r="F80" i="15"/>
  <c r="G80" i="15"/>
  <c r="A81" i="15"/>
  <c r="B81" i="15"/>
  <c r="C81" i="15"/>
  <c r="D81" i="15"/>
  <c r="F81" i="15"/>
  <c r="G81" i="15"/>
  <c r="A82" i="15"/>
  <c r="B82" i="15"/>
  <c r="C82" i="15"/>
  <c r="D82" i="15"/>
  <c r="F82" i="15"/>
  <c r="G82" i="15"/>
  <c r="A83" i="15"/>
  <c r="B83" i="15"/>
  <c r="C83" i="15"/>
  <c r="D83" i="15"/>
  <c r="F83" i="15"/>
  <c r="G83" i="15"/>
  <c r="A84" i="15"/>
  <c r="B84" i="15"/>
  <c r="C84" i="15"/>
  <c r="D84" i="15"/>
  <c r="F84" i="15"/>
  <c r="G84" i="15"/>
  <c r="A85" i="15"/>
  <c r="B85" i="15"/>
  <c r="C85" i="15"/>
  <c r="D85" i="15"/>
  <c r="F85" i="15"/>
  <c r="G85" i="15"/>
  <c r="A86" i="15"/>
  <c r="B86" i="15"/>
  <c r="C86" i="15"/>
  <c r="D86" i="15"/>
  <c r="F86" i="15"/>
  <c r="G86" i="15"/>
  <c r="A87" i="15"/>
  <c r="B87" i="15"/>
  <c r="C87" i="15"/>
  <c r="D87" i="15"/>
  <c r="F87" i="15"/>
  <c r="G87" i="15"/>
  <c r="A88" i="15"/>
  <c r="B88" i="15"/>
  <c r="C88" i="15"/>
  <c r="D88" i="15"/>
  <c r="F88" i="15"/>
  <c r="G88" i="15"/>
  <c r="A89" i="15"/>
  <c r="B89" i="15"/>
  <c r="C89" i="15"/>
  <c r="D89" i="15"/>
  <c r="F89" i="15"/>
  <c r="G89" i="15"/>
  <c r="A90" i="15"/>
  <c r="B90" i="15"/>
  <c r="C90" i="15"/>
  <c r="D90" i="15"/>
  <c r="F90" i="15"/>
  <c r="G90" i="15"/>
  <c r="A91" i="15"/>
  <c r="B91" i="15"/>
  <c r="C91" i="15"/>
  <c r="D91" i="15"/>
  <c r="F91" i="15"/>
  <c r="G91" i="15"/>
  <c r="A92" i="15"/>
  <c r="B92" i="15"/>
  <c r="C92" i="15"/>
  <c r="D92" i="15"/>
  <c r="F92" i="15"/>
  <c r="G92" i="15"/>
  <c r="A93" i="15"/>
  <c r="B93" i="15"/>
  <c r="C93" i="15"/>
  <c r="D93" i="15"/>
  <c r="F93" i="15"/>
  <c r="G93" i="15"/>
  <c r="A94" i="15"/>
  <c r="B94" i="15"/>
  <c r="C94" i="15"/>
  <c r="D94" i="15"/>
  <c r="F94" i="15"/>
  <c r="G94" i="15"/>
  <c r="A95" i="15"/>
  <c r="B95" i="15"/>
  <c r="C95" i="15"/>
  <c r="D95" i="15"/>
  <c r="F95" i="15"/>
  <c r="G95" i="15"/>
  <c r="A96" i="15"/>
  <c r="B96" i="15"/>
  <c r="C96" i="15"/>
  <c r="D96" i="15"/>
  <c r="F96" i="15"/>
  <c r="G96" i="15"/>
  <c r="A97" i="15"/>
  <c r="B97" i="15"/>
  <c r="C97" i="15"/>
  <c r="D97" i="15"/>
  <c r="F97" i="15"/>
  <c r="G97" i="15"/>
  <c r="A98" i="15"/>
  <c r="B98" i="15"/>
  <c r="C98" i="15"/>
  <c r="D98" i="15"/>
  <c r="F98" i="15"/>
  <c r="G98" i="15"/>
  <c r="A99" i="15"/>
  <c r="B99" i="15"/>
  <c r="C99" i="15"/>
  <c r="D99" i="15"/>
  <c r="F99" i="15"/>
  <c r="G99" i="15"/>
  <c r="A100" i="15"/>
  <c r="B100" i="15"/>
  <c r="C100" i="15"/>
  <c r="D100" i="15"/>
  <c r="F100" i="15"/>
  <c r="G100" i="15"/>
  <c r="A101" i="15"/>
  <c r="B101" i="15"/>
  <c r="C101" i="15"/>
  <c r="D101" i="15"/>
  <c r="F101" i="15"/>
  <c r="G101" i="15"/>
  <c r="A102" i="15"/>
  <c r="B102" i="15"/>
  <c r="C102" i="15"/>
  <c r="D102" i="15"/>
  <c r="F102" i="15"/>
  <c r="G102" i="15"/>
  <c r="A103" i="15"/>
  <c r="B103" i="15"/>
  <c r="C103" i="15"/>
  <c r="D103" i="15"/>
  <c r="F103" i="15"/>
  <c r="G103" i="15"/>
  <c r="A104" i="15"/>
  <c r="B104" i="15"/>
  <c r="C104" i="15"/>
  <c r="D104" i="15"/>
  <c r="F104" i="15"/>
  <c r="G104" i="15"/>
  <c r="A105" i="15"/>
  <c r="B105" i="15"/>
  <c r="C105" i="15"/>
  <c r="D105" i="15"/>
  <c r="F105" i="15"/>
  <c r="G105" i="15"/>
  <c r="A106" i="15"/>
  <c r="B106" i="15"/>
  <c r="C106" i="15"/>
  <c r="D106" i="15"/>
  <c r="F106" i="15"/>
  <c r="G106" i="15"/>
  <c r="A107" i="15"/>
  <c r="B107" i="15"/>
  <c r="C107" i="15"/>
  <c r="D107" i="15"/>
  <c r="F107" i="15"/>
  <c r="G107" i="15"/>
  <c r="A108" i="15"/>
  <c r="B108" i="15"/>
  <c r="C108" i="15"/>
  <c r="D108" i="15"/>
  <c r="F108" i="15"/>
  <c r="G108" i="15"/>
  <c r="A109" i="15"/>
  <c r="B109" i="15"/>
  <c r="C109" i="15"/>
  <c r="D109" i="15"/>
  <c r="F109" i="15"/>
  <c r="G109" i="15"/>
  <c r="A110" i="15"/>
  <c r="B110" i="15"/>
  <c r="C110" i="15"/>
  <c r="D110" i="15"/>
  <c r="F110" i="15"/>
  <c r="G110" i="15"/>
  <c r="A111" i="15"/>
  <c r="B111" i="15"/>
  <c r="C111" i="15"/>
  <c r="D111" i="15"/>
  <c r="F111" i="15"/>
  <c r="G111" i="15"/>
  <c r="A112" i="15"/>
  <c r="B112" i="15"/>
  <c r="C112" i="15"/>
  <c r="D112" i="15"/>
  <c r="F112" i="15"/>
  <c r="G112" i="15"/>
  <c r="A113" i="15"/>
  <c r="B113" i="15"/>
  <c r="C113" i="15"/>
  <c r="D113" i="15"/>
  <c r="F113" i="15"/>
  <c r="G113" i="15"/>
  <c r="A114" i="15"/>
  <c r="B114" i="15"/>
  <c r="C114" i="15"/>
  <c r="D114" i="15"/>
  <c r="F114" i="15"/>
  <c r="G114" i="15"/>
  <c r="A115" i="15"/>
  <c r="B115" i="15"/>
  <c r="C115" i="15"/>
  <c r="D115" i="15"/>
  <c r="F115" i="15"/>
  <c r="G115" i="15"/>
  <c r="A116" i="15"/>
  <c r="B116" i="15"/>
  <c r="C116" i="15"/>
  <c r="D116" i="15"/>
  <c r="F116" i="15"/>
  <c r="G116" i="15"/>
  <c r="A117" i="15"/>
  <c r="B117" i="15"/>
  <c r="C117" i="15"/>
  <c r="D117" i="15"/>
  <c r="F117" i="15"/>
  <c r="G117" i="15"/>
  <c r="A118" i="15"/>
  <c r="B118" i="15"/>
  <c r="C118" i="15"/>
  <c r="D118" i="15"/>
  <c r="F118" i="15"/>
  <c r="G118" i="15"/>
  <c r="A119" i="15"/>
  <c r="B119" i="15"/>
  <c r="C119" i="15"/>
  <c r="D119" i="15"/>
  <c r="F119" i="15"/>
  <c r="G119" i="15"/>
  <c r="A120" i="15"/>
  <c r="B120" i="15"/>
  <c r="C120" i="15"/>
  <c r="D120" i="15"/>
  <c r="F120" i="15"/>
  <c r="G120" i="15"/>
  <c r="A121" i="15"/>
  <c r="B121" i="15"/>
  <c r="C121" i="15"/>
  <c r="D121" i="15"/>
  <c r="F121" i="15"/>
  <c r="G121" i="15"/>
  <c r="A122" i="15"/>
  <c r="B122" i="15"/>
  <c r="C122" i="15"/>
  <c r="D122" i="15"/>
  <c r="F122" i="15"/>
  <c r="G122" i="15"/>
  <c r="A123" i="15"/>
  <c r="B123" i="15"/>
  <c r="C123" i="15"/>
  <c r="D123" i="15"/>
  <c r="F123" i="15"/>
  <c r="G123" i="15"/>
  <c r="A124" i="15"/>
  <c r="B124" i="15"/>
  <c r="C124" i="15"/>
  <c r="D124" i="15"/>
  <c r="F124" i="15"/>
  <c r="G124" i="15"/>
  <c r="A125" i="15"/>
  <c r="B125" i="15"/>
  <c r="C125" i="15"/>
  <c r="D125" i="15"/>
  <c r="F125" i="15"/>
  <c r="G125" i="15"/>
  <c r="A126" i="15"/>
  <c r="B126" i="15"/>
  <c r="C126" i="15"/>
  <c r="D126" i="15"/>
  <c r="F126" i="15"/>
  <c r="G126" i="15"/>
  <c r="A127" i="15"/>
  <c r="B127" i="15"/>
  <c r="C127" i="15"/>
  <c r="D127" i="15"/>
  <c r="F127" i="15"/>
  <c r="G127" i="15"/>
  <c r="A128" i="15"/>
  <c r="B128" i="15"/>
  <c r="C128" i="15"/>
  <c r="D128" i="15"/>
  <c r="F128" i="15"/>
  <c r="G128" i="15"/>
  <c r="A129" i="15"/>
  <c r="B129" i="15"/>
  <c r="C129" i="15"/>
  <c r="D129" i="15"/>
  <c r="F129" i="15"/>
  <c r="G129" i="15"/>
  <c r="A130" i="15"/>
  <c r="B130" i="15"/>
  <c r="C130" i="15"/>
  <c r="D130" i="15"/>
  <c r="F130" i="15"/>
  <c r="G130" i="15"/>
  <c r="A131" i="15"/>
  <c r="B131" i="15"/>
  <c r="C131" i="15"/>
  <c r="D131" i="15"/>
  <c r="F131" i="15"/>
  <c r="G131" i="15"/>
  <c r="A132" i="15"/>
  <c r="B132" i="15"/>
  <c r="C132" i="15"/>
  <c r="D132" i="15"/>
  <c r="F132" i="15"/>
  <c r="G132" i="15"/>
  <c r="A133" i="15"/>
  <c r="B133" i="15"/>
  <c r="C133" i="15"/>
  <c r="D133" i="15"/>
  <c r="F133" i="15"/>
  <c r="G133" i="15"/>
  <c r="A134" i="15"/>
  <c r="B134" i="15"/>
  <c r="C134" i="15"/>
  <c r="D134" i="15"/>
  <c r="F134" i="15"/>
  <c r="G134" i="15"/>
  <c r="A135" i="15"/>
  <c r="B135" i="15"/>
  <c r="C135" i="15"/>
  <c r="D135" i="15"/>
  <c r="F135" i="15"/>
  <c r="G135" i="15"/>
  <c r="A136" i="15"/>
  <c r="B136" i="15"/>
  <c r="C136" i="15"/>
  <c r="D136" i="15"/>
  <c r="F136" i="15"/>
  <c r="G136" i="15"/>
  <c r="A137" i="15"/>
  <c r="B137" i="15"/>
  <c r="C137" i="15"/>
  <c r="D137" i="15"/>
  <c r="F137" i="15"/>
  <c r="G137" i="15"/>
  <c r="A138" i="15"/>
  <c r="B138" i="15"/>
  <c r="C138" i="15"/>
  <c r="D138" i="15"/>
  <c r="F138" i="15"/>
  <c r="G138" i="15"/>
  <c r="A139" i="15"/>
  <c r="B139" i="15"/>
  <c r="C139" i="15"/>
  <c r="D139" i="15"/>
  <c r="F139" i="15"/>
  <c r="G139" i="15"/>
  <c r="A140" i="15"/>
  <c r="B140" i="15"/>
  <c r="C140" i="15"/>
  <c r="D140" i="15"/>
  <c r="F140" i="15"/>
  <c r="G140" i="15"/>
  <c r="A141" i="15"/>
  <c r="B141" i="15"/>
  <c r="C141" i="15"/>
  <c r="D141" i="15"/>
  <c r="F141" i="15"/>
  <c r="G141" i="15"/>
  <c r="A142" i="15"/>
  <c r="B142" i="15"/>
  <c r="C142" i="15"/>
  <c r="D142" i="15"/>
  <c r="F142" i="15"/>
  <c r="G142" i="15"/>
  <c r="A143" i="15"/>
  <c r="B143" i="15"/>
  <c r="C143" i="15"/>
  <c r="D143" i="15"/>
  <c r="F143" i="15"/>
  <c r="G143" i="15"/>
  <c r="A144" i="15"/>
  <c r="B144" i="15"/>
  <c r="C144" i="15"/>
  <c r="D144" i="15"/>
  <c r="F144" i="15"/>
  <c r="G144" i="15"/>
  <c r="A145" i="15"/>
  <c r="B145" i="15"/>
  <c r="C145" i="15"/>
  <c r="D145" i="15"/>
  <c r="F145" i="15"/>
  <c r="G145" i="15"/>
  <c r="A146" i="15"/>
  <c r="B146" i="15"/>
  <c r="C146" i="15"/>
  <c r="D146" i="15"/>
  <c r="F146" i="15"/>
  <c r="G146" i="15"/>
  <c r="A147" i="15"/>
  <c r="B147" i="15"/>
  <c r="C147" i="15"/>
  <c r="D147" i="15"/>
  <c r="F147" i="15"/>
  <c r="G147" i="15"/>
  <c r="A148" i="15"/>
  <c r="B148" i="15"/>
  <c r="C148" i="15"/>
  <c r="D148" i="15"/>
  <c r="F148" i="15"/>
  <c r="G148" i="15"/>
  <c r="A149" i="15"/>
  <c r="B149" i="15"/>
  <c r="C149" i="15"/>
  <c r="D149" i="15"/>
  <c r="F149" i="15"/>
  <c r="G149" i="15"/>
  <c r="A150" i="15"/>
  <c r="B150" i="15"/>
  <c r="C150" i="15"/>
  <c r="D150" i="15"/>
  <c r="F150" i="15"/>
  <c r="G150" i="15"/>
  <c r="A151" i="15"/>
  <c r="B151" i="15"/>
  <c r="C151" i="15"/>
  <c r="D151" i="15"/>
  <c r="F151" i="15"/>
  <c r="G151" i="15"/>
  <c r="A152" i="15"/>
  <c r="B152" i="15"/>
  <c r="C152" i="15"/>
  <c r="D152" i="15"/>
  <c r="F152" i="15"/>
  <c r="G152" i="15"/>
  <c r="A153" i="15"/>
  <c r="B153" i="15"/>
  <c r="C153" i="15"/>
  <c r="D153" i="15"/>
  <c r="F153" i="15"/>
  <c r="G153" i="15"/>
  <c r="A154" i="15"/>
  <c r="B154" i="15"/>
  <c r="C154" i="15"/>
  <c r="D154" i="15"/>
  <c r="F154" i="15"/>
  <c r="G154" i="15"/>
  <c r="A155" i="15"/>
  <c r="B155" i="15"/>
  <c r="C155" i="15"/>
  <c r="D155" i="15"/>
  <c r="F155" i="15"/>
  <c r="G155" i="15"/>
  <c r="A156" i="15"/>
  <c r="B156" i="15"/>
  <c r="C156" i="15"/>
  <c r="D156" i="15"/>
  <c r="F156" i="15"/>
  <c r="G156" i="15"/>
  <c r="A157" i="15"/>
  <c r="B157" i="15"/>
  <c r="C157" i="15"/>
  <c r="D157" i="15"/>
  <c r="F157" i="15"/>
  <c r="G157" i="15"/>
  <c r="A158" i="15"/>
  <c r="B158" i="15"/>
  <c r="C158" i="15"/>
  <c r="D158" i="15"/>
  <c r="F158" i="15"/>
  <c r="G158" i="15"/>
  <c r="A159" i="15"/>
  <c r="B159" i="15"/>
  <c r="C159" i="15"/>
  <c r="D159" i="15"/>
  <c r="F159" i="15"/>
  <c r="G159" i="15"/>
  <c r="A160" i="15"/>
  <c r="B160" i="15"/>
  <c r="C160" i="15"/>
  <c r="D160" i="15"/>
  <c r="F160" i="15"/>
  <c r="G160" i="15"/>
  <c r="A161" i="15"/>
  <c r="B161" i="15"/>
  <c r="C161" i="15"/>
  <c r="D161" i="15"/>
  <c r="F161" i="15"/>
  <c r="G161" i="15"/>
  <c r="A162" i="15"/>
  <c r="B162" i="15"/>
  <c r="C162" i="15"/>
  <c r="D162" i="15"/>
  <c r="F162" i="15"/>
  <c r="G162" i="15"/>
  <c r="A163" i="15"/>
  <c r="B163" i="15"/>
  <c r="C163" i="15"/>
  <c r="D163" i="15"/>
  <c r="F163" i="15"/>
  <c r="G163" i="15"/>
  <c r="A164" i="15"/>
  <c r="B164" i="15"/>
  <c r="C164" i="15"/>
  <c r="D164" i="15"/>
  <c r="F164" i="15"/>
  <c r="G164" i="15"/>
  <c r="A165" i="15"/>
  <c r="B165" i="15"/>
  <c r="C165" i="15"/>
  <c r="D165" i="15"/>
  <c r="F165" i="15"/>
  <c r="G165" i="15"/>
  <c r="A166" i="15"/>
  <c r="B166" i="15"/>
  <c r="C166" i="15"/>
  <c r="D166" i="15"/>
  <c r="F166" i="15"/>
  <c r="G166" i="15"/>
  <c r="A167" i="15"/>
  <c r="B167" i="15"/>
  <c r="C167" i="15"/>
  <c r="D167" i="15"/>
  <c r="F167" i="15"/>
  <c r="G167" i="15"/>
  <c r="A168" i="15"/>
  <c r="B168" i="15"/>
  <c r="C168" i="15"/>
  <c r="D168" i="15"/>
  <c r="F168" i="15"/>
  <c r="G168" i="15"/>
  <c r="A169" i="15"/>
  <c r="B169" i="15"/>
  <c r="C169" i="15"/>
  <c r="D169" i="15"/>
  <c r="F169" i="15"/>
  <c r="G169" i="15"/>
  <c r="A170" i="15"/>
  <c r="B170" i="15"/>
  <c r="C170" i="15"/>
  <c r="D170" i="15"/>
  <c r="F170" i="15"/>
  <c r="G170" i="15"/>
  <c r="A171" i="15"/>
  <c r="B171" i="15"/>
  <c r="C171" i="15"/>
  <c r="D171" i="15"/>
  <c r="F171" i="15"/>
  <c r="G171" i="15"/>
  <c r="A172" i="15"/>
  <c r="B172" i="15"/>
  <c r="C172" i="15"/>
  <c r="D172" i="15"/>
  <c r="F172" i="15"/>
  <c r="G172" i="15"/>
  <c r="A173" i="15"/>
  <c r="B173" i="15"/>
  <c r="C173" i="15"/>
  <c r="D173" i="15"/>
  <c r="F173" i="15"/>
  <c r="G173" i="15"/>
  <c r="A174" i="15"/>
  <c r="B174" i="15"/>
  <c r="C174" i="15"/>
  <c r="D174" i="15"/>
  <c r="F174" i="15"/>
  <c r="G174" i="15"/>
  <c r="A175" i="15"/>
  <c r="B175" i="15"/>
  <c r="C175" i="15"/>
  <c r="D175" i="15"/>
  <c r="F175" i="15"/>
  <c r="G175" i="15"/>
  <c r="A176" i="15"/>
  <c r="B176" i="15"/>
  <c r="C176" i="15"/>
  <c r="D176" i="15"/>
  <c r="F176" i="15"/>
  <c r="G176" i="15"/>
  <c r="A177" i="15"/>
  <c r="B177" i="15"/>
  <c r="C177" i="15"/>
  <c r="D177" i="15"/>
  <c r="F177" i="15"/>
  <c r="G177" i="15"/>
  <c r="A178" i="15"/>
  <c r="B178" i="15"/>
  <c r="C178" i="15"/>
  <c r="D178" i="15"/>
  <c r="F178" i="15"/>
  <c r="G178" i="15"/>
  <c r="A179" i="15"/>
  <c r="B179" i="15"/>
  <c r="C179" i="15"/>
  <c r="D179" i="15"/>
  <c r="F179" i="15"/>
  <c r="G179" i="15"/>
  <c r="A180" i="15"/>
  <c r="B180" i="15"/>
  <c r="C180" i="15"/>
  <c r="D180" i="15"/>
  <c r="F180" i="15"/>
  <c r="G180" i="15"/>
  <c r="A181" i="15"/>
  <c r="B181" i="15"/>
  <c r="C181" i="15"/>
  <c r="D181" i="15"/>
  <c r="F181" i="15"/>
  <c r="G181" i="15"/>
  <c r="A182" i="15"/>
  <c r="B182" i="15"/>
  <c r="C182" i="15"/>
  <c r="D182" i="15"/>
  <c r="F182" i="15"/>
  <c r="G182" i="15"/>
  <c r="A183" i="15"/>
  <c r="B183" i="15"/>
  <c r="C183" i="15"/>
  <c r="D183" i="15"/>
  <c r="F183" i="15"/>
  <c r="G183" i="15"/>
  <c r="A184" i="15"/>
  <c r="B184" i="15"/>
  <c r="C184" i="15"/>
  <c r="D184" i="15"/>
  <c r="F184" i="15"/>
  <c r="G184" i="15"/>
  <c r="A185" i="15"/>
  <c r="B185" i="15"/>
  <c r="C185" i="15"/>
  <c r="D185" i="15"/>
  <c r="F185" i="15"/>
  <c r="G185" i="15"/>
  <c r="A186" i="15"/>
  <c r="B186" i="15"/>
  <c r="C186" i="15"/>
  <c r="D186" i="15"/>
  <c r="F186" i="15"/>
  <c r="G186" i="15"/>
  <c r="A187" i="15"/>
  <c r="B187" i="15"/>
  <c r="C187" i="15"/>
  <c r="D187" i="15"/>
  <c r="F187" i="15"/>
  <c r="G187" i="15"/>
  <c r="A188" i="15"/>
  <c r="B188" i="15"/>
  <c r="C188" i="15"/>
  <c r="D188" i="15"/>
  <c r="F188" i="15"/>
  <c r="G188" i="15"/>
  <c r="A189" i="15"/>
  <c r="B189" i="15"/>
  <c r="C189" i="15"/>
  <c r="D189" i="15"/>
  <c r="F189" i="15"/>
  <c r="G189" i="15"/>
  <c r="A190" i="15"/>
  <c r="B190" i="15"/>
  <c r="C190" i="15"/>
  <c r="D190" i="15"/>
  <c r="F190" i="15"/>
  <c r="G190" i="15"/>
  <c r="A191" i="15"/>
  <c r="B191" i="15"/>
  <c r="C191" i="15"/>
  <c r="D191" i="15"/>
  <c r="F191" i="15"/>
  <c r="G191" i="15"/>
  <c r="A192" i="15"/>
  <c r="B192" i="15"/>
  <c r="C192" i="15"/>
  <c r="D192" i="15"/>
  <c r="F192" i="15"/>
  <c r="G192" i="15"/>
  <c r="A193" i="15"/>
  <c r="B193" i="15"/>
  <c r="C193" i="15"/>
  <c r="D193" i="15"/>
  <c r="F193" i="15"/>
  <c r="G193" i="15"/>
  <c r="A194" i="15"/>
  <c r="B194" i="15"/>
  <c r="C194" i="15"/>
  <c r="D194" i="15"/>
  <c r="F194" i="15"/>
  <c r="G194" i="15"/>
  <c r="A195" i="15"/>
  <c r="B195" i="15"/>
  <c r="C195" i="15"/>
  <c r="D195" i="15"/>
  <c r="F195" i="15"/>
  <c r="G195" i="15"/>
  <c r="A196" i="15"/>
  <c r="B196" i="15"/>
  <c r="C196" i="15"/>
  <c r="D196" i="15"/>
  <c r="F196" i="15"/>
  <c r="G196" i="15"/>
  <c r="A197" i="15"/>
  <c r="B197" i="15"/>
  <c r="C197" i="15"/>
  <c r="D197" i="15"/>
  <c r="F197" i="15"/>
  <c r="G197" i="15"/>
  <c r="A198" i="15"/>
  <c r="B198" i="15"/>
  <c r="C198" i="15"/>
  <c r="D198" i="15"/>
  <c r="F198" i="15"/>
  <c r="G198" i="15"/>
  <c r="A199" i="15"/>
  <c r="B199" i="15"/>
  <c r="C199" i="15"/>
  <c r="D199" i="15"/>
  <c r="F199" i="15"/>
  <c r="G199" i="15"/>
  <c r="A200" i="15"/>
  <c r="B200" i="15"/>
  <c r="C200" i="15"/>
  <c r="D200" i="15"/>
  <c r="F200" i="15"/>
  <c r="G200" i="15"/>
  <c r="A201" i="15"/>
  <c r="B201" i="15"/>
  <c r="C201" i="15"/>
  <c r="D201" i="15"/>
  <c r="F201" i="15"/>
  <c r="G201" i="15"/>
  <c r="A202" i="15"/>
  <c r="B202" i="15"/>
  <c r="C202" i="15"/>
  <c r="D202" i="15"/>
  <c r="F202" i="15"/>
  <c r="G202" i="15"/>
  <c r="A203" i="15"/>
  <c r="B203" i="15"/>
  <c r="C203" i="15"/>
  <c r="D203" i="15"/>
  <c r="F203" i="15"/>
  <c r="G203" i="15"/>
  <c r="A204" i="15"/>
  <c r="B204" i="15"/>
  <c r="C204" i="15"/>
  <c r="D204" i="15"/>
  <c r="F204" i="15"/>
  <c r="G204" i="15"/>
  <c r="A205" i="15"/>
  <c r="B205" i="15"/>
  <c r="C205" i="15"/>
  <c r="D205" i="15"/>
  <c r="F205" i="15"/>
  <c r="G205" i="15"/>
  <c r="A206" i="15"/>
  <c r="B206" i="15"/>
  <c r="C206" i="15"/>
  <c r="D206" i="15"/>
  <c r="F206" i="15"/>
  <c r="G206" i="15"/>
  <c r="A207" i="15"/>
  <c r="B207" i="15"/>
  <c r="C207" i="15"/>
  <c r="D207" i="15"/>
  <c r="F207" i="15"/>
  <c r="G207" i="15"/>
  <c r="A208" i="15"/>
  <c r="B208" i="15"/>
  <c r="C208" i="15"/>
  <c r="D208" i="15"/>
  <c r="F208" i="15"/>
  <c r="G208" i="15"/>
  <c r="A209" i="15"/>
  <c r="B209" i="15"/>
  <c r="C209" i="15"/>
  <c r="D209" i="15"/>
  <c r="F209" i="15"/>
  <c r="G209" i="15"/>
  <c r="A210" i="15"/>
  <c r="B210" i="15"/>
  <c r="C210" i="15"/>
  <c r="D210" i="15"/>
  <c r="F210" i="15"/>
  <c r="G210" i="15"/>
  <c r="A211" i="15"/>
  <c r="B211" i="15"/>
  <c r="C211" i="15"/>
  <c r="D211" i="15"/>
  <c r="F211" i="15"/>
  <c r="G211" i="15"/>
  <c r="A212" i="15"/>
  <c r="B212" i="15"/>
  <c r="C212" i="15"/>
  <c r="D212" i="15"/>
  <c r="F212" i="15"/>
  <c r="G212" i="15"/>
  <c r="A213" i="15"/>
  <c r="B213" i="15"/>
  <c r="C213" i="15"/>
  <c r="D213" i="15"/>
  <c r="F213" i="15"/>
  <c r="G213" i="15"/>
  <c r="A214" i="15"/>
  <c r="B214" i="15"/>
  <c r="C214" i="15"/>
  <c r="D214" i="15"/>
  <c r="F214" i="15"/>
  <c r="G214" i="15"/>
  <c r="A215" i="15"/>
  <c r="B215" i="15"/>
  <c r="C215" i="15"/>
  <c r="D215" i="15"/>
  <c r="F215" i="15"/>
  <c r="G215" i="15"/>
  <c r="A216" i="15"/>
  <c r="B216" i="15"/>
  <c r="C216" i="15"/>
  <c r="D216" i="15"/>
  <c r="F216" i="15"/>
  <c r="G216" i="15"/>
  <c r="A217" i="15"/>
  <c r="B217" i="15"/>
  <c r="C217" i="15"/>
  <c r="D217" i="15"/>
  <c r="F217" i="15"/>
  <c r="G217" i="15"/>
  <c r="A218" i="15"/>
  <c r="B218" i="15"/>
  <c r="C218" i="15"/>
  <c r="D218" i="15"/>
  <c r="F218" i="15"/>
  <c r="G218" i="15"/>
  <c r="A219" i="15"/>
  <c r="B219" i="15"/>
  <c r="C219" i="15"/>
  <c r="D219" i="15"/>
  <c r="F219" i="15"/>
  <c r="G219" i="15"/>
  <c r="A220" i="15"/>
  <c r="B220" i="15"/>
  <c r="C220" i="15"/>
  <c r="D220" i="15"/>
  <c r="F220" i="15"/>
  <c r="G220" i="15"/>
  <c r="A221" i="15"/>
  <c r="B221" i="15"/>
  <c r="C221" i="15"/>
  <c r="D221" i="15"/>
  <c r="F221" i="15"/>
  <c r="G221" i="15"/>
  <c r="A222" i="15"/>
  <c r="B222" i="15"/>
  <c r="C222" i="15"/>
  <c r="D222" i="15"/>
  <c r="F222" i="15"/>
  <c r="G222" i="15"/>
  <c r="A223" i="15"/>
  <c r="B223" i="15"/>
  <c r="C223" i="15"/>
  <c r="D223" i="15"/>
  <c r="F223" i="15"/>
  <c r="G223" i="15"/>
  <c r="A224" i="15"/>
  <c r="B224" i="15"/>
  <c r="C224" i="15"/>
  <c r="D224" i="15"/>
  <c r="F224" i="15"/>
  <c r="G224" i="15"/>
  <c r="A225" i="15"/>
  <c r="B225" i="15"/>
  <c r="C225" i="15"/>
  <c r="D225" i="15"/>
  <c r="F225" i="15"/>
  <c r="G225" i="15"/>
  <c r="A226" i="15"/>
  <c r="B226" i="15"/>
  <c r="C226" i="15"/>
  <c r="D226" i="15"/>
  <c r="F226" i="15"/>
  <c r="G226" i="15"/>
  <c r="A227" i="15"/>
  <c r="B227" i="15"/>
  <c r="C227" i="15"/>
  <c r="D227" i="15"/>
  <c r="F227" i="15"/>
  <c r="G227" i="15"/>
  <c r="A228" i="15"/>
  <c r="B228" i="15"/>
  <c r="C228" i="15"/>
  <c r="D228" i="15"/>
  <c r="F228" i="15"/>
  <c r="G228" i="15"/>
  <c r="A229" i="15"/>
  <c r="B229" i="15"/>
  <c r="C229" i="15"/>
  <c r="D229" i="15"/>
  <c r="F229" i="15"/>
  <c r="G229" i="15"/>
  <c r="A230" i="15"/>
  <c r="B230" i="15"/>
  <c r="C230" i="15"/>
  <c r="D230" i="15"/>
  <c r="F230" i="15"/>
  <c r="G230" i="15"/>
  <c r="A231" i="15"/>
  <c r="B231" i="15"/>
  <c r="C231" i="15"/>
  <c r="D231" i="15"/>
  <c r="F231" i="15"/>
  <c r="G231" i="15"/>
  <c r="A232" i="15"/>
  <c r="B232" i="15"/>
  <c r="C232" i="15"/>
  <c r="D232" i="15"/>
  <c r="F232" i="15"/>
  <c r="G232" i="15"/>
  <c r="A233" i="15"/>
  <c r="B233" i="15"/>
  <c r="C233" i="15"/>
  <c r="D233" i="15"/>
  <c r="F233" i="15"/>
  <c r="G233" i="15"/>
  <c r="A234" i="15"/>
  <c r="B234" i="15"/>
  <c r="C234" i="15"/>
  <c r="D234" i="15"/>
  <c r="F234" i="15"/>
  <c r="G234" i="15"/>
  <c r="A235" i="15"/>
  <c r="B235" i="15"/>
  <c r="C235" i="15"/>
  <c r="D235" i="15"/>
  <c r="F235" i="15"/>
  <c r="G235" i="15"/>
  <c r="A236" i="15"/>
  <c r="B236" i="15"/>
  <c r="C236" i="15"/>
  <c r="D236" i="15"/>
  <c r="F236" i="15"/>
  <c r="G236" i="15"/>
  <c r="A237" i="15"/>
  <c r="B237" i="15"/>
  <c r="C237" i="15"/>
  <c r="D237" i="15"/>
  <c r="F237" i="15"/>
  <c r="G237" i="15"/>
  <c r="A238" i="15"/>
  <c r="B238" i="15"/>
  <c r="C238" i="15"/>
  <c r="D238" i="15"/>
  <c r="F238" i="15"/>
  <c r="G238" i="15"/>
  <c r="A239" i="15"/>
  <c r="B239" i="15"/>
  <c r="C239" i="15"/>
  <c r="D239" i="15"/>
  <c r="F239" i="15"/>
  <c r="G239" i="15"/>
  <c r="A240" i="15"/>
  <c r="B240" i="15"/>
  <c r="C240" i="15"/>
  <c r="D240" i="15"/>
  <c r="F240" i="15"/>
  <c r="G240" i="15"/>
  <c r="A241" i="15"/>
  <c r="B241" i="15"/>
  <c r="C241" i="15"/>
  <c r="D241" i="15"/>
  <c r="F241" i="15"/>
  <c r="G241" i="15"/>
  <c r="A242" i="15"/>
  <c r="B242" i="15"/>
  <c r="C242" i="15"/>
  <c r="D242" i="15"/>
  <c r="F242" i="15"/>
  <c r="G242" i="15"/>
  <c r="A243" i="15"/>
  <c r="B243" i="15"/>
  <c r="C243" i="15"/>
  <c r="D243" i="15"/>
  <c r="F243" i="15"/>
  <c r="G243" i="15"/>
  <c r="A244" i="15"/>
  <c r="B244" i="15"/>
  <c r="C244" i="15"/>
  <c r="D244" i="15"/>
  <c r="F244" i="15"/>
  <c r="G244" i="15"/>
  <c r="A245" i="15"/>
  <c r="B245" i="15"/>
  <c r="C245" i="15"/>
  <c r="D245" i="15"/>
  <c r="F245" i="15"/>
  <c r="G245" i="15"/>
  <c r="A246" i="15"/>
  <c r="B246" i="15"/>
  <c r="C246" i="15"/>
  <c r="D246" i="15"/>
  <c r="F246" i="15"/>
  <c r="G246" i="15"/>
  <c r="A247" i="15"/>
  <c r="B247" i="15"/>
  <c r="C247" i="15"/>
  <c r="D247" i="15"/>
  <c r="F247" i="15"/>
  <c r="G247" i="15"/>
  <c r="A248" i="15"/>
  <c r="B248" i="15"/>
  <c r="C248" i="15"/>
  <c r="D248" i="15"/>
  <c r="F248" i="15"/>
  <c r="G248" i="15"/>
  <c r="A249" i="15"/>
  <c r="B249" i="15"/>
  <c r="C249" i="15"/>
  <c r="D249" i="15"/>
  <c r="F249" i="15"/>
  <c r="G249" i="15"/>
  <c r="A250" i="15"/>
  <c r="B250" i="15"/>
  <c r="C250" i="15"/>
  <c r="D250" i="15"/>
  <c r="F250" i="15"/>
  <c r="G250" i="15"/>
  <c r="A251" i="15"/>
  <c r="B251" i="15"/>
  <c r="C251" i="15"/>
  <c r="D251" i="15"/>
  <c r="F251" i="15"/>
  <c r="G251" i="15"/>
  <c r="A252" i="15"/>
  <c r="B252" i="15"/>
  <c r="C252" i="15"/>
  <c r="D252" i="15"/>
  <c r="F252" i="15"/>
  <c r="G252" i="15"/>
  <c r="A253" i="15"/>
  <c r="B253" i="15"/>
  <c r="C253" i="15"/>
  <c r="D253" i="15"/>
  <c r="F253" i="15"/>
  <c r="G253" i="15"/>
  <c r="A254" i="15"/>
  <c r="B254" i="15"/>
  <c r="C254" i="15"/>
  <c r="D254" i="15"/>
  <c r="F254" i="15"/>
  <c r="G254" i="15"/>
  <c r="A255" i="15"/>
  <c r="B255" i="15"/>
  <c r="C255" i="15"/>
  <c r="D255" i="15"/>
  <c r="F255" i="15"/>
  <c r="G255" i="15"/>
  <c r="A256" i="15"/>
  <c r="B256" i="15"/>
  <c r="C256" i="15"/>
  <c r="D256" i="15"/>
  <c r="F256" i="15"/>
  <c r="G256" i="15"/>
  <c r="A257" i="15"/>
  <c r="B257" i="15"/>
  <c r="C257" i="15"/>
  <c r="D257" i="15"/>
  <c r="F257" i="15"/>
  <c r="G257" i="15"/>
  <c r="A258" i="15"/>
  <c r="B258" i="15"/>
  <c r="C258" i="15"/>
  <c r="D258" i="15"/>
  <c r="F258" i="15"/>
  <c r="G258" i="15"/>
  <c r="A259" i="15"/>
  <c r="B259" i="15"/>
  <c r="C259" i="15"/>
  <c r="D259" i="15"/>
  <c r="F259" i="15"/>
  <c r="G259" i="15"/>
  <c r="A260" i="15"/>
  <c r="B260" i="15"/>
  <c r="C260" i="15"/>
  <c r="D260" i="15"/>
  <c r="F260" i="15"/>
  <c r="G260" i="15"/>
  <c r="A261" i="15"/>
  <c r="B261" i="15"/>
  <c r="C261" i="15"/>
  <c r="D261" i="15"/>
  <c r="F261" i="15"/>
  <c r="G261" i="15"/>
  <c r="A262" i="15"/>
  <c r="B262" i="15"/>
  <c r="C262" i="15"/>
  <c r="D262" i="15"/>
  <c r="F262" i="15"/>
  <c r="G262" i="15"/>
  <c r="A263" i="15"/>
  <c r="B263" i="15"/>
  <c r="C263" i="15"/>
  <c r="D263" i="15"/>
  <c r="F263" i="15"/>
  <c r="G263" i="15"/>
  <c r="A264" i="15"/>
  <c r="B264" i="15"/>
  <c r="C264" i="15"/>
  <c r="D264" i="15"/>
  <c r="F264" i="15"/>
  <c r="G264" i="15"/>
  <c r="A265" i="15"/>
  <c r="B265" i="15"/>
  <c r="C265" i="15"/>
  <c r="D265" i="15"/>
  <c r="F265" i="15"/>
  <c r="G265" i="15"/>
  <c r="A266" i="15"/>
  <c r="B266" i="15"/>
  <c r="C266" i="15"/>
  <c r="D266" i="15"/>
  <c r="F266" i="15"/>
  <c r="G266" i="15"/>
  <c r="A267" i="15"/>
  <c r="B267" i="15"/>
  <c r="C267" i="15"/>
  <c r="D267" i="15"/>
  <c r="F267" i="15"/>
  <c r="G267" i="15"/>
  <c r="A268" i="15"/>
  <c r="B268" i="15"/>
  <c r="C268" i="15"/>
  <c r="D268" i="15"/>
  <c r="F268" i="15"/>
  <c r="G268" i="15"/>
  <c r="A269" i="15"/>
  <c r="B269" i="15"/>
  <c r="C269" i="15"/>
  <c r="D269" i="15"/>
  <c r="F269" i="15"/>
  <c r="G269" i="15"/>
  <c r="A270" i="15"/>
  <c r="B270" i="15"/>
  <c r="C270" i="15"/>
  <c r="D270" i="15"/>
  <c r="F270" i="15"/>
  <c r="G270" i="15"/>
  <c r="A271" i="15"/>
  <c r="B271" i="15"/>
  <c r="C271" i="15"/>
  <c r="D271" i="15"/>
  <c r="F271" i="15"/>
  <c r="G271" i="15"/>
  <c r="A272" i="15"/>
  <c r="B272" i="15"/>
  <c r="C272" i="15"/>
  <c r="D272" i="15"/>
  <c r="F272" i="15"/>
  <c r="G272" i="15"/>
  <c r="A273" i="15"/>
  <c r="B273" i="15"/>
  <c r="C273" i="15"/>
  <c r="D273" i="15"/>
  <c r="F273" i="15"/>
  <c r="G273" i="15"/>
  <c r="A274" i="15"/>
  <c r="B274" i="15"/>
  <c r="C274" i="15"/>
  <c r="D274" i="15"/>
  <c r="F274" i="15"/>
  <c r="G274" i="15"/>
  <c r="A275" i="15"/>
  <c r="B275" i="15"/>
  <c r="C275" i="15"/>
  <c r="D275" i="15"/>
  <c r="F275" i="15"/>
  <c r="G275" i="15"/>
  <c r="A276" i="15"/>
  <c r="B276" i="15"/>
  <c r="C276" i="15"/>
  <c r="D276" i="15"/>
  <c r="F276" i="15"/>
  <c r="G276" i="15"/>
  <c r="A277" i="15"/>
  <c r="B277" i="15"/>
  <c r="C277" i="15"/>
  <c r="D277" i="15"/>
  <c r="F277" i="15"/>
  <c r="G277" i="15"/>
  <c r="A278" i="15"/>
  <c r="B278" i="15"/>
  <c r="C278" i="15"/>
  <c r="D278" i="15"/>
  <c r="F278" i="15"/>
  <c r="G278" i="15"/>
  <c r="A279" i="15"/>
  <c r="B279" i="15"/>
  <c r="C279" i="15"/>
  <c r="D279" i="15"/>
  <c r="F279" i="15"/>
  <c r="G279" i="15"/>
  <c r="A280" i="15"/>
  <c r="B280" i="15"/>
  <c r="C280" i="15"/>
  <c r="D280" i="15"/>
  <c r="F280" i="15"/>
  <c r="G280" i="15"/>
  <c r="A281" i="15"/>
  <c r="B281" i="15"/>
  <c r="C281" i="15"/>
  <c r="D281" i="15"/>
  <c r="F281" i="15"/>
  <c r="G281" i="15"/>
  <c r="A282" i="15"/>
  <c r="B282" i="15"/>
  <c r="C282" i="15"/>
  <c r="D282" i="15"/>
  <c r="F282" i="15"/>
  <c r="G282" i="15"/>
  <c r="A283" i="15"/>
  <c r="B283" i="15"/>
  <c r="C283" i="15"/>
  <c r="D283" i="15"/>
  <c r="F283" i="15"/>
  <c r="G283" i="15"/>
  <c r="A284" i="15"/>
  <c r="B284" i="15"/>
  <c r="C284" i="15"/>
  <c r="D284" i="15"/>
  <c r="F284" i="15"/>
  <c r="G284" i="15"/>
  <c r="A285" i="15"/>
  <c r="B285" i="15"/>
  <c r="C285" i="15"/>
  <c r="D285" i="15"/>
  <c r="F285" i="15"/>
  <c r="G285" i="15"/>
  <c r="A286" i="15"/>
  <c r="B286" i="15"/>
  <c r="C286" i="15"/>
  <c r="D286" i="15"/>
  <c r="F286" i="15"/>
  <c r="G286" i="15"/>
  <c r="A287" i="15"/>
  <c r="B287" i="15"/>
  <c r="C287" i="15"/>
  <c r="D287" i="15"/>
  <c r="F287" i="15"/>
  <c r="G287" i="15"/>
  <c r="A288" i="15"/>
  <c r="B288" i="15"/>
  <c r="C288" i="15"/>
  <c r="D288" i="15"/>
  <c r="F288" i="15"/>
  <c r="G288" i="15"/>
  <c r="A289" i="15"/>
  <c r="B289" i="15"/>
  <c r="C289" i="15"/>
  <c r="D289" i="15"/>
  <c r="F289" i="15"/>
  <c r="G289" i="15"/>
  <c r="A290" i="15"/>
  <c r="B290" i="15"/>
  <c r="C290" i="15"/>
  <c r="D290" i="15"/>
  <c r="F290" i="15"/>
  <c r="G290" i="15"/>
  <c r="A291" i="15"/>
  <c r="B291" i="15"/>
  <c r="C291" i="15"/>
  <c r="D291" i="15"/>
  <c r="F291" i="15"/>
  <c r="G291" i="15"/>
  <c r="A292" i="15"/>
  <c r="B292" i="15"/>
  <c r="C292" i="15"/>
  <c r="D292" i="15"/>
  <c r="F292" i="15"/>
  <c r="G292" i="15"/>
  <c r="A293" i="15"/>
  <c r="B293" i="15"/>
  <c r="C293" i="15"/>
  <c r="D293" i="15"/>
  <c r="F293" i="15"/>
  <c r="G293" i="15"/>
  <c r="A294" i="15"/>
  <c r="B294" i="15"/>
  <c r="C294" i="15"/>
  <c r="D294" i="15"/>
  <c r="F294" i="15"/>
  <c r="G294" i="15"/>
  <c r="A295" i="15"/>
  <c r="B295" i="15"/>
  <c r="C295" i="15"/>
  <c r="D295" i="15"/>
  <c r="F295" i="15"/>
  <c r="G295" i="15"/>
  <c r="A296" i="15"/>
  <c r="B296" i="15"/>
  <c r="C296" i="15"/>
  <c r="D296" i="15"/>
  <c r="F296" i="15"/>
  <c r="G296" i="15"/>
  <c r="A297" i="15"/>
  <c r="B297" i="15"/>
  <c r="C297" i="15"/>
  <c r="D297" i="15"/>
  <c r="F297" i="15"/>
  <c r="G297" i="15"/>
  <c r="A298" i="15"/>
  <c r="B298" i="15"/>
  <c r="C298" i="15"/>
  <c r="D298" i="15"/>
  <c r="F298" i="15"/>
  <c r="G298" i="15"/>
  <c r="A299" i="15"/>
  <c r="B299" i="15"/>
  <c r="C299" i="15"/>
  <c r="D299" i="15"/>
  <c r="F299" i="15"/>
  <c r="G299" i="15"/>
  <c r="A300" i="15"/>
  <c r="B300" i="15"/>
  <c r="C300" i="15"/>
  <c r="D300" i="15"/>
  <c r="F300" i="15"/>
  <c r="G300" i="15"/>
  <c r="A301" i="15"/>
  <c r="B301" i="15"/>
  <c r="C301" i="15"/>
  <c r="D301" i="15"/>
  <c r="F301" i="15"/>
  <c r="G301" i="15"/>
  <c r="A302" i="15"/>
  <c r="B302" i="15"/>
  <c r="C302" i="15"/>
  <c r="D302" i="15"/>
  <c r="F302" i="15"/>
  <c r="G302" i="15"/>
  <c r="A303" i="15"/>
  <c r="B303" i="15"/>
  <c r="C303" i="15"/>
  <c r="D303" i="15"/>
  <c r="F303" i="15"/>
  <c r="G303" i="15"/>
  <c r="A304" i="15"/>
  <c r="B304" i="15"/>
  <c r="C304" i="15"/>
  <c r="D304" i="15"/>
  <c r="F304" i="15"/>
  <c r="G304" i="15"/>
  <c r="A305" i="15"/>
  <c r="B305" i="15"/>
  <c r="C305" i="15"/>
  <c r="D305" i="15"/>
  <c r="F305" i="15"/>
  <c r="G305" i="15"/>
  <c r="A306" i="15"/>
  <c r="B306" i="15"/>
  <c r="C306" i="15"/>
  <c r="D306" i="15"/>
  <c r="F306" i="15"/>
  <c r="G306" i="15"/>
  <c r="A307" i="15"/>
  <c r="B307" i="15"/>
  <c r="C307" i="15"/>
  <c r="D307" i="15"/>
  <c r="F307" i="15"/>
  <c r="G307" i="15"/>
  <c r="A308" i="15"/>
  <c r="B308" i="15"/>
  <c r="C308" i="15"/>
  <c r="D308" i="15"/>
  <c r="F308" i="15"/>
  <c r="G308" i="15"/>
  <c r="A309" i="15"/>
  <c r="B309" i="15"/>
  <c r="C309" i="15"/>
  <c r="D309" i="15"/>
  <c r="F309" i="15"/>
  <c r="G309" i="15"/>
  <c r="A310" i="15"/>
  <c r="B310" i="15"/>
  <c r="C310" i="15"/>
  <c r="D310" i="15"/>
  <c r="F310" i="15"/>
  <c r="G310" i="15"/>
  <c r="A311" i="15"/>
  <c r="B311" i="15"/>
  <c r="C311" i="15"/>
  <c r="D311" i="15"/>
  <c r="F311" i="15"/>
  <c r="G311" i="15"/>
  <c r="A312" i="15"/>
  <c r="B312" i="15"/>
  <c r="C312" i="15"/>
  <c r="D312" i="15"/>
  <c r="F312" i="15"/>
  <c r="G312" i="15"/>
  <c r="A313" i="15"/>
  <c r="B313" i="15"/>
  <c r="C313" i="15"/>
  <c r="D313" i="15"/>
  <c r="F313" i="15"/>
  <c r="G313" i="15"/>
  <c r="A314" i="15"/>
  <c r="B314" i="15"/>
  <c r="C314" i="15"/>
  <c r="D314" i="15"/>
  <c r="F314" i="15"/>
  <c r="G314" i="15"/>
  <c r="A315" i="15"/>
  <c r="B315" i="15"/>
  <c r="C315" i="15"/>
  <c r="D315" i="15"/>
  <c r="F315" i="15"/>
  <c r="G315" i="15"/>
  <c r="A316" i="15"/>
  <c r="B316" i="15"/>
  <c r="C316" i="15"/>
  <c r="D316" i="15"/>
  <c r="F316" i="15"/>
  <c r="G316" i="15"/>
  <c r="A317" i="15"/>
  <c r="B317" i="15"/>
  <c r="C317" i="15"/>
  <c r="D317" i="15"/>
  <c r="F317" i="15"/>
  <c r="G317" i="15"/>
  <c r="A318" i="15"/>
  <c r="B318" i="15"/>
  <c r="C318" i="15"/>
  <c r="D318" i="15"/>
  <c r="F318" i="15"/>
  <c r="G318" i="15"/>
  <c r="A319" i="15"/>
  <c r="B319" i="15"/>
  <c r="C319" i="15"/>
  <c r="D319" i="15"/>
  <c r="F319" i="15"/>
  <c r="G319" i="15"/>
  <c r="A320" i="15"/>
  <c r="B320" i="15"/>
  <c r="C320" i="15"/>
  <c r="D320" i="15"/>
  <c r="F320" i="15"/>
  <c r="G320" i="15"/>
  <c r="A321" i="15"/>
  <c r="B321" i="15"/>
  <c r="C321" i="15"/>
  <c r="D321" i="15"/>
  <c r="F321" i="15"/>
  <c r="G321" i="15"/>
  <c r="A322" i="15"/>
  <c r="B322" i="15"/>
  <c r="C322" i="15"/>
  <c r="D322" i="15"/>
  <c r="F322" i="15"/>
  <c r="G322" i="15"/>
  <c r="A323" i="15"/>
  <c r="B323" i="15"/>
  <c r="C323" i="15"/>
  <c r="D323" i="15"/>
  <c r="F323" i="15"/>
  <c r="G323" i="15"/>
  <c r="A324" i="15"/>
  <c r="B324" i="15"/>
  <c r="C324" i="15"/>
  <c r="D324" i="15"/>
  <c r="F324" i="15"/>
  <c r="G324" i="15"/>
  <c r="A325" i="15"/>
  <c r="B325" i="15"/>
  <c r="C325" i="15"/>
  <c r="D325" i="15"/>
  <c r="F325" i="15"/>
  <c r="G325" i="15"/>
  <c r="A326" i="15"/>
  <c r="B326" i="15"/>
  <c r="C326" i="15"/>
  <c r="D326" i="15"/>
  <c r="F326" i="15"/>
  <c r="G326" i="15"/>
  <c r="A327" i="15"/>
  <c r="B327" i="15"/>
  <c r="C327" i="15"/>
  <c r="D327" i="15"/>
  <c r="F327" i="15"/>
  <c r="G327" i="15"/>
  <c r="A328" i="15"/>
  <c r="B328" i="15"/>
  <c r="C328" i="15"/>
  <c r="D328" i="15"/>
  <c r="F328" i="15"/>
  <c r="G328" i="15"/>
  <c r="A329" i="15"/>
  <c r="B329" i="15"/>
  <c r="C329" i="15"/>
  <c r="D329" i="15"/>
  <c r="F329" i="15"/>
  <c r="G329" i="15"/>
  <c r="A330" i="15"/>
  <c r="B330" i="15"/>
  <c r="C330" i="15"/>
  <c r="D330" i="15"/>
  <c r="F330" i="15"/>
  <c r="G330" i="15"/>
  <c r="A331" i="15"/>
  <c r="B331" i="15"/>
  <c r="C331" i="15"/>
  <c r="D331" i="15"/>
  <c r="F331" i="15"/>
  <c r="G331" i="15"/>
  <c r="A332" i="15"/>
  <c r="B332" i="15"/>
  <c r="C332" i="15"/>
  <c r="D332" i="15"/>
  <c r="F332" i="15"/>
  <c r="G332" i="15"/>
  <c r="A333" i="15"/>
  <c r="B333" i="15"/>
  <c r="C333" i="15"/>
  <c r="D333" i="15"/>
  <c r="F333" i="15"/>
  <c r="G333" i="15"/>
  <c r="A334" i="15"/>
  <c r="B334" i="15"/>
  <c r="C334" i="15"/>
  <c r="D334" i="15"/>
  <c r="F334" i="15"/>
  <c r="G334" i="15"/>
  <c r="A335" i="15"/>
  <c r="B335" i="15"/>
  <c r="C335" i="15"/>
  <c r="D335" i="15"/>
  <c r="F335" i="15"/>
  <c r="G335" i="15"/>
  <c r="A336" i="15"/>
  <c r="B336" i="15"/>
  <c r="C336" i="15"/>
  <c r="D336" i="15"/>
  <c r="F336" i="15"/>
  <c r="G336" i="15"/>
  <c r="A337" i="15"/>
  <c r="B337" i="15"/>
  <c r="C337" i="15"/>
  <c r="D337" i="15"/>
  <c r="F337" i="15"/>
  <c r="G337" i="15"/>
  <c r="A338" i="15"/>
  <c r="B338" i="15"/>
  <c r="C338" i="15"/>
  <c r="D338" i="15"/>
  <c r="F338" i="15"/>
  <c r="G338" i="15"/>
  <c r="A339" i="15"/>
  <c r="B339" i="15"/>
  <c r="C339" i="15"/>
  <c r="D339" i="15"/>
  <c r="F339" i="15"/>
  <c r="G339" i="15"/>
  <c r="A340" i="15"/>
  <c r="B340" i="15"/>
  <c r="C340" i="15"/>
  <c r="D340" i="15"/>
  <c r="F340" i="15"/>
  <c r="G340" i="15"/>
  <c r="A341" i="15"/>
  <c r="B341" i="15"/>
  <c r="C341" i="15"/>
  <c r="D341" i="15"/>
  <c r="F341" i="15"/>
  <c r="G341" i="15"/>
  <c r="A342" i="15"/>
  <c r="B342" i="15"/>
  <c r="C342" i="15"/>
  <c r="D342" i="15"/>
  <c r="F342" i="15"/>
  <c r="G342" i="15"/>
  <c r="A343" i="15"/>
  <c r="B343" i="15"/>
  <c r="C343" i="15"/>
  <c r="D343" i="15"/>
  <c r="F343" i="15"/>
  <c r="G343" i="15"/>
  <c r="A344" i="15"/>
  <c r="B344" i="15"/>
  <c r="C344" i="15"/>
  <c r="D344" i="15"/>
  <c r="F344" i="15"/>
  <c r="G344" i="15"/>
  <c r="A345" i="15"/>
  <c r="B345" i="15"/>
  <c r="C345" i="15"/>
  <c r="D345" i="15"/>
  <c r="F345" i="15"/>
  <c r="G345" i="15"/>
  <c r="A346" i="15"/>
  <c r="B346" i="15"/>
  <c r="C346" i="15"/>
  <c r="D346" i="15"/>
  <c r="F346" i="15"/>
  <c r="G346" i="15"/>
  <c r="A347" i="15"/>
  <c r="B347" i="15"/>
  <c r="C347" i="15"/>
  <c r="D347" i="15"/>
  <c r="F347" i="15"/>
  <c r="G347" i="15"/>
  <c r="A348" i="15"/>
  <c r="B348" i="15"/>
  <c r="C348" i="15"/>
  <c r="D348" i="15"/>
  <c r="F348" i="15"/>
  <c r="G348" i="15"/>
  <c r="A349" i="15"/>
  <c r="B349" i="15"/>
  <c r="C349" i="15"/>
  <c r="D349" i="15"/>
  <c r="F349" i="15"/>
  <c r="G349" i="15"/>
  <c r="A350" i="15"/>
  <c r="B350" i="15"/>
  <c r="C350" i="15"/>
  <c r="D350" i="15"/>
  <c r="F350" i="15"/>
  <c r="G350" i="15"/>
  <c r="A351" i="15"/>
  <c r="B351" i="15"/>
  <c r="C351" i="15"/>
  <c r="D351" i="15"/>
  <c r="F351" i="15"/>
  <c r="G351" i="15"/>
  <c r="A352" i="15"/>
  <c r="B352" i="15"/>
  <c r="C352" i="15"/>
  <c r="D352" i="15"/>
  <c r="F352" i="15"/>
  <c r="G352" i="15"/>
  <c r="A353" i="15"/>
  <c r="B353" i="15"/>
  <c r="C353" i="15"/>
  <c r="D353" i="15"/>
  <c r="F353" i="15"/>
  <c r="G353" i="15"/>
  <c r="A354" i="15"/>
  <c r="B354" i="15"/>
  <c r="C354" i="15"/>
  <c r="D354" i="15"/>
  <c r="F354" i="15"/>
  <c r="G354" i="15"/>
  <c r="A355" i="15"/>
  <c r="B355" i="15"/>
  <c r="C355" i="15"/>
  <c r="D355" i="15"/>
  <c r="F355" i="15"/>
  <c r="G355" i="15"/>
  <c r="A356" i="15"/>
  <c r="B356" i="15"/>
  <c r="C356" i="15"/>
  <c r="D356" i="15"/>
  <c r="F356" i="15"/>
  <c r="G356" i="15"/>
  <c r="A357" i="15"/>
  <c r="B357" i="15"/>
  <c r="C357" i="15"/>
  <c r="D357" i="15"/>
  <c r="F357" i="15"/>
  <c r="G357" i="15"/>
  <c r="A358" i="15"/>
  <c r="B358" i="15"/>
  <c r="C358" i="15"/>
  <c r="D358" i="15"/>
  <c r="F358" i="15"/>
  <c r="G358" i="15"/>
  <c r="A359" i="15"/>
  <c r="B359" i="15"/>
  <c r="C359" i="15"/>
  <c r="D359" i="15"/>
  <c r="F359" i="15"/>
  <c r="G359" i="15"/>
  <c r="A360" i="15"/>
  <c r="B360" i="15"/>
  <c r="C360" i="15"/>
  <c r="D360" i="15"/>
  <c r="F360" i="15"/>
  <c r="G360" i="15"/>
  <c r="A361" i="15"/>
  <c r="B361" i="15"/>
  <c r="C361" i="15"/>
  <c r="D361" i="15"/>
  <c r="F361" i="15"/>
  <c r="G361" i="15"/>
  <c r="A362" i="15"/>
  <c r="B362" i="15"/>
  <c r="C362" i="15"/>
  <c r="D362" i="15"/>
  <c r="F362" i="15"/>
  <c r="G362" i="15"/>
  <c r="A363" i="15"/>
  <c r="B363" i="15"/>
  <c r="C363" i="15"/>
  <c r="D363" i="15"/>
  <c r="F363" i="15"/>
  <c r="G363" i="15"/>
  <c r="A364" i="15"/>
  <c r="B364" i="15"/>
  <c r="C364" i="15"/>
  <c r="D364" i="15"/>
  <c r="F364" i="15"/>
  <c r="G364" i="15"/>
  <c r="A365" i="15"/>
  <c r="B365" i="15"/>
  <c r="C365" i="15"/>
  <c r="D365" i="15"/>
  <c r="F365" i="15"/>
  <c r="G365" i="15"/>
  <c r="A366" i="15"/>
  <c r="B366" i="15"/>
  <c r="C366" i="15"/>
  <c r="D366" i="15"/>
  <c r="F366" i="15"/>
  <c r="G366" i="15"/>
  <c r="A367" i="15"/>
  <c r="B367" i="15"/>
  <c r="C367" i="15"/>
  <c r="D367" i="15"/>
  <c r="F367" i="15"/>
  <c r="G367" i="15"/>
  <c r="A368" i="15"/>
  <c r="B368" i="15"/>
  <c r="C368" i="15"/>
  <c r="D368" i="15"/>
  <c r="F368" i="15"/>
  <c r="G368" i="15"/>
  <c r="A369" i="15"/>
  <c r="B369" i="15"/>
  <c r="C369" i="15"/>
  <c r="D369" i="15"/>
  <c r="F369" i="15"/>
  <c r="G369" i="15"/>
  <c r="A370" i="15"/>
  <c r="B370" i="15"/>
  <c r="C370" i="15"/>
  <c r="D370" i="15"/>
  <c r="F370" i="15"/>
  <c r="G370" i="15"/>
  <c r="A371" i="15"/>
  <c r="B371" i="15"/>
  <c r="C371" i="15"/>
  <c r="D371" i="15"/>
  <c r="F371" i="15"/>
  <c r="G371" i="15"/>
  <c r="A372" i="15"/>
  <c r="B372" i="15"/>
  <c r="C372" i="15"/>
  <c r="D372" i="15"/>
  <c r="F372" i="15"/>
  <c r="G372" i="15"/>
  <c r="A373" i="15"/>
  <c r="B373" i="15"/>
  <c r="C373" i="15"/>
  <c r="D373" i="15"/>
  <c r="F373" i="15"/>
  <c r="G373" i="15"/>
  <c r="A374" i="15"/>
  <c r="B374" i="15"/>
  <c r="C374" i="15"/>
  <c r="D374" i="15"/>
  <c r="F374" i="15"/>
  <c r="G374" i="15"/>
  <c r="A375" i="15"/>
  <c r="B375" i="15"/>
  <c r="C375" i="15"/>
  <c r="D375" i="15"/>
  <c r="F375" i="15"/>
  <c r="G375" i="15"/>
  <c r="A376" i="15"/>
  <c r="B376" i="15"/>
  <c r="C376" i="15"/>
  <c r="D376" i="15"/>
  <c r="F376" i="15"/>
  <c r="G376" i="15"/>
  <c r="A377" i="15"/>
  <c r="B377" i="15"/>
  <c r="C377" i="15"/>
  <c r="D377" i="15"/>
  <c r="F377" i="15"/>
  <c r="G377" i="15"/>
  <c r="A378" i="15"/>
  <c r="B378" i="15"/>
  <c r="C378" i="15"/>
  <c r="D378" i="15"/>
  <c r="F378" i="15"/>
  <c r="G378" i="15"/>
  <c r="A379" i="15"/>
  <c r="B379" i="15"/>
  <c r="C379" i="15"/>
  <c r="D379" i="15"/>
  <c r="F379" i="15"/>
  <c r="G379" i="15"/>
  <c r="A380" i="15"/>
  <c r="B380" i="15"/>
  <c r="C380" i="15"/>
  <c r="D380" i="15"/>
  <c r="F380" i="15"/>
  <c r="G380" i="15"/>
  <c r="A381" i="15"/>
  <c r="B381" i="15"/>
  <c r="C381" i="15"/>
  <c r="D381" i="15"/>
  <c r="F381" i="15"/>
  <c r="G381" i="15"/>
  <c r="A382" i="15"/>
  <c r="B382" i="15"/>
  <c r="C382" i="15"/>
  <c r="D382" i="15"/>
  <c r="F382" i="15"/>
  <c r="G382" i="15"/>
  <c r="A383" i="15"/>
  <c r="B383" i="15"/>
  <c r="C383" i="15"/>
  <c r="D383" i="15"/>
  <c r="F383" i="15"/>
  <c r="G383" i="15"/>
  <c r="A384" i="15"/>
  <c r="B384" i="15"/>
  <c r="C384" i="15"/>
  <c r="D384" i="15"/>
  <c r="F384" i="15"/>
  <c r="G384" i="15"/>
  <c r="A385" i="15"/>
  <c r="B385" i="15"/>
  <c r="C385" i="15"/>
  <c r="D385" i="15"/>
  <c r="F385" i="15"/>
  <c r="G385" i="15"/>
  <c r="A386" i="15"/>
  <c r="B386" i="15"/>
  <c r="C386" i="15"/>
  <c r="D386" i="15"/>
  <c r="F386" i="15"/>
  <c r="G386" i="15"/>
  <c r="A387" i="15"/>
  <c r="B387" i="15"/>
  <c r="C387" i="15"/>
  <c r="D387" i="15"/>
  <c r="F387" i="15"/>
  <c r="G387" i="15"/>
  <c r="A388" i="15"/>
  <c r="B388" i="15"/>
  <c r="C388" i="15"/>
  <c r="D388" i="15"/>
  <c r="F388" i="15"/>
  <c r="G388" i="15"/>
  <c r="A389" i="15"/>
  <c r="B389" i="15"/>
  <c r="C389" i="15"/>
  <c r="D389" i="15"/>
  <c r="F389" i="15"/>
  <c r="G389" i="15"/>
  <c r="A390" i="15"/>
  <c r="B390" i="15"/>
  <c r="C390" i="15"/>
  <c r="D390" i="15"/>
  <c r="F390" i="15"/>
  <c r="G390" i="15"/>
  <c r="A391" i="15"/>
  <c r="B391" i="15"/>
  <c r="C391" i="15"/>
  <c r="D391" i="15"/>
  <c r="F391" i="15"/>
  <c r="G391" i="15"/>
  <c r="A392" i="15"/>
  <c r="B392" i="15"/>
  <c r="C392" i="15"/>
  <c r="D392" i="15"/>
  <c r="F392" i="15"/>
  <c r="G392" i="15"/>
  <c r="A393" i="15"/>
  <c r="B393" i="15"/>
  <c r="C393" i="15"/>
  <c r="D393" i="15"/>
  <c r="F393" i="15"/>
  <c r="G393" i="15"/>
  <c r="A394" i="15"/>
  <c r="B394" i="15"/>
  <c r="C394" i="15"/>
  <c r="D394" i="15"/>
  <c r="F394" i="15"/>
  <c r="G394" i="15"/>
  <c r="A395" i="15"/>
  <c r="B395" i="15"/>
  <c r="C395" i="15"/>
  <c r="D395" i="15"/>
  <c r="F395" i="15"/>
  <c r="G395" i="15"/>
  <c r="A396" i="15"/>
  <c r="B396" i="15"/>
  <c r="C396" i="15"/>
  <c r="D396" i="15"/>
  <c r="F396" i="15"/>
  <c r="G396" i="15"/>
  <c r="A397" i="15"/>
  <c r="B397" i="15"/>
  <c r="C397" i="15"/>
  <c r="D397" i="15"/>
  <c r="F397" i="15"/>
  <c r="G397" i="15"/>
  <c r="A398" i="15"/>
  <c r="B398" i="15"/>
  <c r="C398" i="15"/>
  <c r="D398" i="15"/>
  <c r="F398" i="15"/>
  <c r="G398" i="15"/>
  <c r="A399" i="15"/>
  <c r="B399" i="15"/>
  <c r="C399" i="15"/>
  <c r="D399" i="15"/>
  <c r="F399" i="15"/>
  <c r="G399" i="15"/>
  <c r="A400" i="15"/>
  <c r="B400" i="15"/>
  <c r="C400" i="15"/>
  <c r="D400" i="15"/>
  <c r="F400" i="15"/>
  <c r="G400" i="15"/>
  <c r="A401" i="15"/>
  <c r="B401" i="15"/>
  <c r="C401" i="15"/>
  <c r="D401" i="15"/>
  <c r="F401" i="15"/>
  <c r="G401" i="15"/>
  <c r="A402" i="15"/>
  <c r="B402" i="15"/>
  <c r="C402" i="15"/>
  <c r="D402" i="15"/>
  <c r="F402" i="15"/>
  <c r="G402" i="15"/>
  <c r="A403" i="15"/>
  <c r="B403" i="15"/>
  <c r="C403" i="15"/>
  <c r="D403" i="15"/>
  <c r="F403" i="15"/>
  <c r="G403" i="15"/>
  <c r="A404" i="15"/>
  <c r="B404" i="15"/>
  <c r="C404" i="15"/>
  <c r="D404" i="15"/>
  <c r="F404" i="15"/>
  <c r="G404" i="15"/>
  <c r="A405" i="15"/>
  <c r="B405" i="15"/>
  <c r="C405" i="15"/>
  <c r="D405" i="15"/>
  <c r="F405" i="15"/>
  <c r="G405" i="15"/>
  <c r="A406" i="15"/>
  <c r="B406" i="15"/>
  <c r="C406" i="15"/>
  <c r="D406" i="15"/>
  <c r="F406" i="15"/>
  <c r="G406" i="15"/>
  <c r="A407" i="15"/>
  <c r="B407" i="15"/>
  <c r="C407" i="15"/>
  <c r="D407" i="15"/>
  <c r="F407" i="15"/>
  <c r="G407" i="15"/>
  <c r="A408" i="15"/>
  <c r="B408" i="15"/>
  <c r="C408" i="15"/>
  <c r="D408" i="15"/>
  <c r="F408" i="15"/>
  <c r="G408" i="15"/>
  <c r="A409" i="15"/>
  <c r="B409" i="15"/>
  <c r="C409" i="15"/>
  <c r="D409" i="15"/>
  <c r="F409" i="15"/>
  <c r="G409" i="15"/>
  <c r="A410" i="15"/>
  <c r="B410" i="15"/>
  <c r="C410" i="15"/>
  <c r="D410" i="15"/>
  <c r="F410" i="15"/>
  <c r="G410" i="15"/>
  <c r="A411" i="15"/>
  <c r="B411" i="15"/>
  <c r="C411" i="15"/>
  <c r="D411" i="15"/>
  <c r="F411" i="15"/>
  <c r="G411" i="15"/>
  <c r="A412" i="15"/>
  <c r="B412" i="15"/>
  <c r="C412" i="15"/>
  <c r="D412" i="15"/>
  <c r="F412" i="15"/>
  <c r="G412" i="15"/>
  <c r="A413" i="15"/>
  <c r="B413" i="15"/>
  <c r="C413" i="15"/>
  <c r="D413" i="15"/>
  <c r="F413" i="15"/>
  <c r="G413" i="15"/>
  <c r="A414" i="15"/>
  <c r="B414" i="15"/>
  <c r="C414" i="15"/>
  <c r="D414" i="15"/>
  <c r="F414" i="15"/>
  <c r="G414" i="15"/>
  <c r="A415" i="15"/>
  <c r="B415" i="15"/>
  <c r="C415" i="15"/>
  <c r="D415" i="15"/>
  <c r="F415" i="15"/>
  <c r="G415" i="15"/>
  <c r="A416" i="15"/>
  <c r="B416" i="15"/>
  <c r="C416" i="15"/>
  <c r="D416" i="15"/>
  <c r="F416" i="15"/>
  <c r="G416" i="15"/>
  <c r="A417" i="15"/>
  <c r="B417" i="15"/>
  <c r="C417" i="15"/>
  <c r="D417" i="15"/>
  <c r="F417" i="15"/>
  <c r="G417" i="15"/>
  <c r="A418" i="15"/>
  <c r="B418" i="15"/>
  <c r="C418" i="15"/>
  <c r="D418" i="15"/>
  <c r="F418" i="15"/>
  <c r="G418" i="15"/>
  <c r="A419" i="15"/>
  <c r="B419" i="15"/>
  <c r="C419" i="15"/>
  <c r="D419" i="15"/>
  <c r="F419" i="15"/>
  <c r="G419" i="15"/>
  <c r="A420" i="15"/>
  <c r="B420" i="15"/>
  <c r="C420" i="15"/>
  <c r="D420" i="15"/>
  <c r="F420" i="15"/>
  <c r="G420" i="15"/>
  <c r="A421" i="15"/>
  <c r="B421" i="15"/>
  <c r="C421" i="15"/>
  <c r="D421" i="15"/>
  <c r="F421" i="15"/>
  <c r="G421" i="15"/>
  <c r="A422" i="15"/>
  <c r="B422" i="15"/>
  <c r="C422" i="15"/>
  <c r="D422" i="15"/>
  <c r="F422" i="15"/>
  <c r="G422" i="15"/>
  <c r="A423" i="15"/>
  <c r="B423" i="15"/>
  <c r="C423" i="15"/>
  <c r="D423" i="15"/>
  <c r="F423" i="15"/>
  <c r="G423" i="15"/>
  <c r="A424" i="15"/>
  <c r="B424" i="15"/>
  <c r="C424" i="15"/>
  <c r="D424" i="15"/>
  <c r="F424" i="15"/>
  <c r="G424" i="15"/>
  <c r="A425" i="15"/>
  <c r="B425" i="15"/>
  <c r="C425" i="15"/>
  <c r="D425" i="15"/>
  <c r="F425" i="15"/>
  <c r="G425" i="15"/>
  <c r="A426" i="15"/>
  <c r="B426" i="15"/>
  <c r="C426" i="15"/>
  <c r="D426" i="15"/>
  <c r="F426" i="15"/>
  <c r="G426" i="15"/>
  <c r="A427" i="15"/>
  <c r="B427" i="15"/>
  <c r="C427" i="15"/>
  <c r="D427" i="15"/>
  <c r="F427" i="15"/>
  <c r="G427" i="15"/>
  <c r="A428" i="15"/>
  <c r="B428" i="15"/>
  <c r="C428" i="15"/>
  <c r="D428" i="15"/>
  <c r="F428" i="15"/>
  <c r="G428" i="15"/>
  <c r="A429" i="15"/>
  <c r="B429" i="15"/>
  <c r="C429" i="15"/>
  <c r="D429" i="15"/>
  <c r="F429" i="15"/>
  <c r="G429" i="15"/>
  <c r="A430" i="15"/>
  <c r="B430" i="15"/>
  <c r="C430" i="15"/>
  <c r="D430" i="15"/>
  <c r="F430" i="15"/>
  <c r="G430" i="15"/>
  <c r="A431" i="15"/>
  <c r="B431" i="15"/>
  <c r="C431" i="15"/>
  <c r="D431" i="15"/>
  <c r="F431" i="15"/>
  <c r="G431" i="15"/>
  <c r="A432" i="15"/>
  <c r="B432" i="15"/>
  <c r="C432" i="15"/>
  <c r="D432" i="15"/>
  <c r="F432" i="15"/>
  <c r="G432" i="15"/>
  <c r="A433" i="15"/>
  <c r="B433" i="15"/>
  <c r="C433" i="15"/>
  <c r="D433" i="15"/>
  <c r="F433" i="15"/>
  <c r="G433" i="15"/>
  <c r="A434" i="15"/>
  <c r="B434" i="15"/>
  <c r="C434" i="15"/>
  <c r="D434" i="15"/>
  <c r="F434" i="15"/>
  <c r="G434" i="15"/>
  <c r="A435" i="15"/>
  <c r="B435" i="15"/>
  <c r="C435" i="15"/>
  <c r="D435" i="15"/>
  <c r="F435" i="15"/>
  <c r="G435" i="15"/>
  <c r="A436" i="15"/>
  <c r="B436" i="15"/>
  <c r="C436" i="15"/>
  <c r="D436" i="15"/>
  <c r="F436" i="15"/>
  <c r="G436" i="15"/>
  <c r="A437" i="15"/>
  <c r="B437" i="15"/>
  <c r="C437" i="15"/>
  <c r="D437" i="15"/>
  <c r="F437" i="15"/>
  <c r="G437" i="15"/>
  <c r="A438" i="15"/>
  <c r="B438" i="15"/>
  <c r="C438" i="15"/>
  <c r="D438" i="15"/>
  <c r="F438" i="15"/>
  <c r="G438" i="15"/>
  <c r="A439" i="15"/>
  <c r="B439" i="15"/>
  <c r="C439" i="15"/>
  <c r="D439" i="15"/>
  <c r="F439" i="15"/>
  <c r="G439" i="15"/>
  <c r="A440" i="15"/>
  <c r="B440" i="15"/>
  <c r="C440" i="15"/>
  <c r="D440" i="15"/>
  <c r="F440" i="15"/>
  <c r="G440" i="15"/>
  <c r="A441" i="15"/>
  <c r="B441" i="15"/>
  <c r="C441" i="15"/>
  <c r="D441" i="15"/>
  <c r="F441" i="15"/>
  <c r="G441" i="15"/>
  <c r="A442" i="15"/>
  <c r="B442" i="15"/>
  <c r="C442" i="15"/>
  <c r="D442" i="15"/>
  <c r="F442" i="15"/>
  <c r="G442" i="15"/>
  <c r="A443" i="15"/>
  <c r="B443" i="15"/>
  <c r="C443" i="15"/>
  <c r="D443" i="15"/>
  <c r="F443" i="15"/>
  <c r="G443" i="15"/>
  <c r="A444" i="15"/>
  <c r="B444" i="15"/>
  <c r="C444" i="15"/>
  <c r="D444" i="15"/>
  <c r="F444" i="15"/>
  <c r="G444" i="15"/>
  <c r="A445" i="15"/>
  <c r="B445" i="15"/>
  <c r="C445" i="15"/>
  <c r="D445" i="15"/>
  <c r="F445" i="15"/>
  <c r="G445" i="15"/>
  <c r="A446" i="15"/>
  <c r="B446" i="15"/>
  <c r="C446" i="15"/>
  <c r="D446" i="15"/>
  <c r="F446" i="15"/>
  <c r="G446" i="15"/>
  <c r="A447" i="15"/>
  <c r="B447" i="15"/>
  <c r="C447" i="15"/>
  <c r="D447" i="15"/>
  <c r="F447" i="15"/>
  <c r="G447" i="15"/>
  <c r="A448" i="15"/>
  <c r="B448" i="15"/>
  <c r="C448" i="15"/>
  <c r="D448" i="15"/>
  <c r="F448" i="15"/>
  <c r="G448" i="15"/>
  <c r="A449" i="15"/>
  <c r="B449" i="15"/>
  <c r="C449" i="15"/>
  <c r="D449" i="15"/>
  <c r="F449" i="15"/>
  <c r="G449" i="15"/>
  <c r="A450" i="15"/>
  <c r="B450" i="15"/>
  <c r="C450" i="15"/>
  <c r="D450" i="15"/>
  <c r="F450" i="15"/>
  <c r="G450" i="15"/>
  <c r="A451" i="15"/>
  <c r="B451" i="15"/>
  <c r="C451" i="15"/>
  <c r="D451" i="15"/>
  <c r="F451" i="15"/>
  <c r="G451" i="15"/>
  <c r="A452" i="15"/>
  <c r="B452" i="15"/>
  <c r="C452" i="15"/>
  <c r="D452" i="15"/>
  <c r="F452" i="15"/>
  <c r="G452" i="15"/>
  <c r="A453" i="15"/>
  <c r="B453" i="15"/>
  <c r="C453" i="15"/>
  <c r="D453" i="15"/>
  <c r="F453" i="15"/>
  <c r="G453" i="15"/>
  <c r="A454" i="15"/>
  <c r="B454" i="15"/>
  <c r="C454" i="15"/>
  <c r="D454" i="15"/>
  <c r="F454" i="15"/>
  <c r="G454" i="15"/>
  <c r="A455" i="15"/>
  <c r="B455" i="15"/>
  <c r="C455" i="15"/>
  <c r="D455" i="15"/>
  <c r="F455" i="15"/>
  <c r="G455" i="15"/>
  <c r="A456" i="15"/>
  <c r="B456" i="15"/>
  <c r="C456" i="15"/>
  <c r="D456" i="15"/>
  <c r="F456" i="15"/>
  <c r="G456" i="15"/>
  <c r="A457" i="15"/>
  <c r="B457" i="15"/>
  <c r="C457" i="15"/>
  <c r="D457" i="15"/>
  <c r="F457" i="15"/>
  <c r="G457" i="15"/>
  <c r="A458" i="15"/>
  <c r="B458" i="15"/>
  <c r="C458" i="15"/>
  <c r="D458" i="15"/>
  <c r="F458" i="15"/>
  <c r="G458" i="15"/>
  <c r="A459" i="15"/>
  <c r="B459" i="15"/>
  <c r="C459" i="15"/>
  <c r="D459" i="15"/>
  <c r="F459" i="15"/>
  <c r="G459" i="15"/>
  <c r="A460" i="15"/>
  <c r="B460" i="15"/>
  <c r="C460" i="15"/>
  <c r="D460" i="15"/>
  <c r="F460" i="15"/>
  <c r="G460" i="15"/>
  <c r="A461" i="15"/>
  <c r="B461" i="15"/>
  <c r="C461" i="15"/>
  <c r="D461" i="15"/>
  <c r="F461" i="15"/>
  <c r="G461" i="15"/>
  <c r="A462" i="15"/>
  <c r="B462" i="15"/>
  <c r="C462" i="15"/>
  <c r="D462" i="15"/>
  <c r="F462" i="15"/>
  <c r="G462" i="15"/>
  <c r="A463" i="15"/>
  <c r="B463" i="15"/>
  <c r="C463" i="15"/>
  <c r="D463" i="15"/>
  <c r="F463" i="15"/>
  <c r="G463" i="15"/>
  <c r="A464" i="15"/>
  <c r="B464" i="15"/>
  <c r="C464" i="15"/>
  <c r="D464" i="15"/>
  <c r="F464" i="15"/>
  <c r="G464" i="15"/>
  <c r="A465" i="15"/>
  <c r="B465" i="15"/>
  <c r="C465" i="15"/>
  <c r="D465" i="15"/>
  <c r="F465" i="15"/>
  <c r="G465" i="15"/>
  <c r="A466" i="15"/>
  <c r="B466" i="15"/>
  <c r="C466" i="15"/>
  <c r="D466" i="15"/>
  <c r="F466" i="15"/>
  <c r="G466" i="15"/>
  <c r="A467" i="15"/>
  <c r="B467" i="15"/>
  <c r="C467" i="15"/>
  <c r="D467" i="15"/>
  <c r="F467" i="15"/>
  <c r="G467" i="15"/>
  <c r="A468" i="15"/>
  <c r="B468" i="15"/>
  <c r="C468" i="15"/>
  <c r="D468" i="15"/>
  <c r="F468" i="15"/>
  <c r="G468" i="15"/>
  <c r="A469" i="15"/>
  <c r="B469" i="15"/>
  <c r="C469" i="15"/>
  <c r="D469" i="15"/>
  <c r="F469" i="15"/>
  <c r="G469" i="15"/>
  <c r="A470" i="15"/>
  <c r="B470" i="15"/>
  <c r="C470" i="15"/>
  <c r="D470" i="15"/>
  <c r="F470" i="15"/>
  <c r="G470" i="15"/>
  <c r="A471" i="15"/>
  <c r="B471" i="15"/>
  <c r="C471" i="15"/>
  <c r="D471" i="15"/>
  <c r="F471" i="15"/>
  <c r="G471" i="15"/>
  <c r="A472" i="15"/>
  <c r="B472" i="15"/>
  <c r="C472" i="15"/>
  <c r="D472" i="15"/>
  <c r="F472" i="15"/>
  <c r="G472" i="15"/>
  <c r="A473" i="15"/>
  <c r="B473" i="15"/>
  <c r="C473" i="15"/>
  <c r="D473" i="15"/>
  <c r="F473" i="15"/>
  <c r="G473" i="15"/>
  <c r="A474" i="15"/>
  <c r="B474" i="15"/>
  <c r="C474" i="15"/>
  <c r="D474" i="15"/>
  <c r="F474" i="15"/>
  <c r="G474" i="15"/>
  <c r="A475" i="15"/>
  <c r="B475" i="15"/>
  <c r="C475" i="15"/>
  <c r="D475" i="15"/>
  <c r="F475" i="15"/>
  <c r="G475" i="15"/>
  <c r="A476" i="15"/>
  <c r="B476" i="15"/>
  <c r="C476" i="15"/>
  <c r="D476" i="15"/>
  <c r="F476" i="15"/>
  <c r="G476" i="15"/>
  <c r="A477" i="15"/>
  <c r="B477" i="15"/>
  <c r="C477" i="15"/>
  <c r="D477" i="15"/>
  <c r="F477" i="15"/>
  <c r="G477" i="15"/>
  <c r="A478" i="15"/>
  <c r="B478" i="15"/>
  <c r="C478" i="15"/>
  <c r="D478" i="15"/>
  <c r="F478" i="15"/>
  <c r="G478" i="15"/>
  <c r="A479" i="15"/>
  <c r="B479" i="15"/>
  <c r="C479" i="15"/>
  <c r="D479" i="15"/>
  <c r="F479" i="15"/>
  <c r="G479" i="15"/>
  <c r="A480" i="15"/>
  <c r="B480" i="15"/>
  <c r="C480" i="15"/>
  <c r="D480" i="15"/>
  <c r="F480" i="15"/>
  <c r="G480" i="15"/>
  <c r="A481" i="15"/>
  <c r="B481" i="15"/>
  <c r="C481" i="15"/>
  <c r="D481" i="15"/>
  <c r="F481" i="15"/>
  <c r="G481" i="15"/>
  <c r="A482" i="15"/>
  <c r="B482" i="15"/>
  <c r="C482" i="15"/>
  <c r="D482" i="15"/>
  <c r="F482" i="15"/>
  <c r="G482" i="15"/>
  <c r="A483" i="15"/>
  <c r="B483" i="15"/>
  <c r="C483" i="15"/>
  <c r="D483" i="15"/>
  <c r="F483" i="15"/>
  <c r="G483" i="15"/>
  <c r="A484" i="15"/>
  <c r="B484" i="15"/>
  <c r="C484" i="15"/>
  <c r="D484" i="15"/>
  <c r="F484" i="15"/>
  <c r="G484" i="15"/>
  <c r="A485" i="15"/>
  <c r="B485" i="15"/>
  <c r="C485" i="15"/>
  <c r="D485" i="15"/>
  <c r="F485" i="15"/>
  <c r="G485" i="15"/>
  <c r="A486" i="15"/>
  <c r="B486" i="15"/>
  <c r="C486" i="15"/>
  <c r="D486" i="15"/>
  <c r="F486" i="15"/>
  <c r="G486" i="15"/>
  <c r="A487" i="15"/>
  <c r="B487" i="15"/>
  <c r="C487" i="15"/>
  <c r="D487" i="15"/>
  <c r="F487" i="15"/>
  <c r="G487" i="15"/>
  <c r="A488" i="15"/>
  <c r="B488" i="15"/>
  <c r="C488" i="15"/>
  <c r="D488" i="15"/>
  <c r="F488" i="15"/>
  <c r="G488" i="15"/>
  <c r="A489" i="15"/>
  <c r="B489" i="15"/>
  <c r="C489" i="15"/>
  <c r="D489" i="15"/>
  <c r="F489" i="15"/>
  <c r="G489" i="15"/>
  <c r="A490" i="15"/>
  <c r="B490" i="15"/>
  <c r="C490" i="15"/>
  <c r="D490" i="15"/>
  <c r="F490" i="15"/>
  <c r="G490" i="15"/>
  <c r="A491" i="15"/>
  <c r="B491" i="15"/>
  <c r="C491" i="15"/>
  <c r="D491" i="15"/>
  <c r="F491" i="15"/>
  <c r="G491" i="15"/>
  <c r="A492" i="15"/>
  <c r="B492" i="15"/>
  <c r="C492" i="15"/>
  <c r="D492" i="15"/>
  <c r="F492" i="15"/>
  <c r="G492" i="15"/>
  <c r="A493" i="15"/>
  <c r="B493" i="15"/>
  <c r="C493" i="15"/>
  <c r="D493" i="15"/>
  <c r="F493" i="15"/>
  <c r="G493" i="15"/>
  <c r="A494" i="15"/>
  <c r="B494" i="15"/>
  <c r="C494" i="15"/>
  <c r="D494" i="15"/>
  <c r="F494" i="15"/>
  <c r="G494" i="15"/>
  <c r="A495" i="15"/>
  <c r="B495" i="15"/>
  <c r="C495" i="15"/>
  <c r="D495" i="15"/>
  <c r="F495" i="15"/>
  <c r="G495" i="15"/>
  <c r="A496" i="15"/>
  <c r="B496" i="15"/>
  <c r="C496" i="15"/>
  <c r="D496" i="15"/>
  <c r="F496" i="15"/>
  <c r="G496" i="15"/>
  <c r="A497" i="15"/>
  <c r="B497" i="15"/>
  <c r="C497" i="15"/>
  <c r="D497" i="15"/>
  <c r="F497" i="15"/>
  <c r="G497" i="15"/>
  <c r="A498" i="15"/>
  <c r="B498" i="15"/>
  <c r="C498" i="15"/>
  <c r="D498" i="15"/>
  <c r="F498" i="15"/>
  <c r="G498" i="15"/>
  <c r="A499" i="15"/>
  <c r="B499" i="15"/>
  <c r="C499" i="15"/>
  <c r="D499" i="15"/>
  <c r="F499" i="15"/>
  <c r="G499" i="15"/>
  <c r="A500" i="15"/>
  <c r="B500" i="15"/>
  <c r="C500" i="15"/>
  <c r="D500" i="15"/>
  <c r="F500" i="15"/>
  <c r="G500" i="15"/>
  <c r="A501" i="15"/>
  <c r="B501" i="15"/>
  <c r="C501" i="15"/>
  <c r="D501" i="15"/>
  <c r="F501" i="15"/>
  <c r="G501" i="15"/>
  <c r="A502" i="15"/>
  <c r="B502" i="15"/>
  <c r="C502" i="15"/>
  <c r="D502" i="15"/>
  <c r="F502" i="15"/>
  <c r="G502" i="15"/>
  <c r="A503" i="15"/>
  <c r="B503" i="15"/>
  <c r="C503" i="15"/>
  <c r="D503" i="15"/>
  <c r="F503" i="15"/>
  <c r="G503" i="15"/>
  <c r="A504" i="15"/>
  <c r="B504" i="15"/>
  <c r="C504" i="15"/>
  <c r="D504" i="15"/>
  <c r="F504" i="15"/>
  <c r="G504" i="15"/>
  <c r="A505" i="15"/>
  <c r="B505" i="15"/>
  <c r="C505" i="15"/>
  <c r="D505" i="15"/>
  <c r="F505" i="15"/>
  <c r="G505" i="15"/>
  <c r="A506" i="15"/>
  <c r="B506" i="15"/>
  <c r="C506" i="15"/>
  <c r="D506" i="15"/>
  <c r="F506" i="15"/>
  <c r="G506" i="15"/>
  <c r="A507" i="15"/>
  <c r="B507" i="15"/>
  <c r="C507" i="15"/>
  <c r="D507" i="15"/>
  <c r="F507" i="15"/>
  <c r="G507" i="15"/>
  <c r="A508" i="15"/>
  <c r="B508" i="15"/>
  <c r="C508" i="15"/>
  <c r="D508" i="15"/>
  <c r="F508" i="15"/>
  <c r="G508" i="15"/>
  <c r="A509" i="15"/>
  <c r="B509" i="15"/>
  <c r="C509" i="15"/>
  <c r="D509" i="15"/>
  <c r="F509" i="15"/>
  <c r="G509" i="15"/>
  <c r="A510" i="15"/>
  <c r="B510" i="15"/>
  <c r="C510" i="15"/>
  <c r="D510" i="15"/>
  <c r="F510" i="15"/>
  <c r="G510" i="15"/>
  <c r="A511" i="15"/>
  <c r="B511" i="15"/>
  <c r="C511" i="15"/>
  <c r="D511" i="15"/>
  <c r="F511" i="15"/>
  <c r="G511" i="15"/>
  <c r="A512" i="15"/>
  <c r="B512" i="15"/>
  <c r="C512" i="15"/>
  <c r="D512" i="15"/>
  <c r="F512" i="15"/>
  <c r="G512" i="15"/>
  <c r="A513" i="15"/>
  <c r="B513" i="15"/>
  <c r="C513" i="15"/>
  <c r="D513" i="15"/>
  <c r="F513" i="15"/>
  <c r="G513" i="15"/>
  <c r="A514" i="15"/>
  <c r="B514" i="15"/>
  <c r="C514" i="15"/>
  <c r="D514" i="15"/>
  <c r="F514" i="15"/>
  <c r="G514" i="15"/>
  <c r="A515" i="15"/>
  <c r="B515" i="15"/>
  <c r="C515" i="15"/>
  <c r="D515" i="15"/>
  <c r="F515" i="15"/>
  <c r="G515" i="15"/>
  <c r="A516" i="15"/>
  <c r="B516" i="15"/>
  <c r="C516" i="15"/>
  <c r="D516" i="15"/>
  <c r="F516" i="15"/>
  <c r="G516" i="15"/>
  <c r="A517" i="15"/>
  <c r="B517" i="15"/>
  <c r="C517" i="15"/>
  <c r="D517" i="15"/>
  <c r="F517" i="15"/>
  <c r="G517" i="15"/>
  <c r="A518" i="15"/>
  <c r="B518" i="15"/>
  <c r="C518" i="15"/>
  <c r="D518" i="15"/>
  <c r="F518" i="15"/>
  <c r="G518" i="15"/>
  <c r="A519" i="15"/>
  <c r="B519" i="15"/>
  <c r="C519" i="15"/>
  <c r="D519" i="15"/>
  <c r="F519" i="15"/>
  <c r="G519" i="15"/>
  <c r="A520" i="15"/>
  <c r="B520" i="15"/>
  <c r="C520" i="15"/>
  <c r="D520" i="15"/>
  <c r="F520" i="15"/>
  <c r="G520" i="15"/>
  <c r="A521" i="15"/>
  <c r="B521" i="15"/>
  <c r="C521" i="15"/>
  <c r="D521" i="15"/>
  <c r="F521" i="15"/>
  <c r="G521" i="15"/>
  <c r="A522" i="15"/>
  <c r="B522" i="15"/>
  <c r="C522" i="15"/>
  <c r="D522" i="15"/>
  <c r="F522" i="15"/>
  <c r="G522" i="15"/>
  <c r="A523" i="15"/>
  <c r="B523" i="15"/>
  <c r="C523" i="15"/>
  <c r="D523" i="15"/>
  <c r="F523" i="15"/>
  <c r="G523" i="15"/>
  <c r="A524" i="15"/>
  <c r="B524" i="15"/>
  <c r="C524" i="15"/>
  <c r="D524" i="15"/>
  <c r="F524" i="15"/>
  <c r="G524" i="15"/>
  <c r="A525" i="15"/>
  <c r="B525" i="15"/>
  <c r="C525" i="15"/>
  <c r="D525" i="15"/>
  <c r="F525" i="15"/>
  <c r="G525" i="15"/>
  <c r="A526" i="15"/>
  <c r="B526" i="15"/>
  <c r="C526" i="15"/>
  <c r="D526" i="15"/>
  <c r="F526" i="15"/>
  <c r="G526" i="15"/>
  <c r="A527" i="15"/>
  <c r="B527" i="15"/>
  <c r="C527" i="15"/>
  <c r="D527" i="15"/>
  <c r="F527" i="15"/>
  <c r="G527" i="15"/>
  <c r="A528" i="15"/>
  <c r="B528" i="15"/>
  <c r="C528" i="15"/>
  <c r="D528" i="15"/>
  <c r="F528" i="15"/>
  <c r="G528" i="15"/>
  <c r="A529" i="15"/>
  <c r="B529" i="15"/>
  <c r="C529" i="15"/>
  <c r="D529" i="15"/>
  <c r="F529" i="15"/>
  <c r="G529" i="15"/>
  <c r="A530" i="15"/>
  <c r="B530" i="15"/>
  <c r="C530" i="15"/>
  <c r="D530" i="15"/>
  <c r="F530" i="15"/>
  <c r="G530" i="15"/>
  <c r="A531" i="15"/>
  <c r="B531" i="15"/>
  <c r="C531" i="15"/>
  <c r="D531" i="15"/>
  <c r="F531" i="15"/>
  <c r="G531" i="15"/>
  <c r="A532" i="15"/>
  <c r="B532" i="15"/>
  <c r="C532" i="15"/>
  <c r="D532" i="15"/>
  <c r="F532" i="15"/>
  <c r="G532" i="15"/>
  <c r="A533" i="15"/>
  <c r="B533" i="15"/>
  <c r="C533" i="15"/>
  <c r="D533" i="15"/>
  <c r="F533" i="15"/>
  <c r="G533" i="15"/>
  <c r="A534" i="15"/>
  <c r="B534" i="15"/>
  <c r="C534" i="15"/>
  <c r="D534" i="15"/>
  <c r="F534" i="15"/>
  <c r="G534" i="15"/>
  <c r="A535" i="15"/>
  <c r="B535" i="15"/>
  <c r="C535" i="15"/>
  <c r="D535" i="15"/>
  <c r="F535" i="15"/>
  <c r="G535" i="15"/>
  <c r="A536" i="15"/>
  <c r="B536" i="15"/>
  <c r="C536" i="15"/>
  <c r="D536" i="15"/>
  <c r="F536" i="15"/>
  <c r="G536" i="15"/>
  <c r="A537" i="15"/>
  <c r="B537" i="15"/>
  <c r="C537" i="15"/>
  <c r="D537" i="15"/>
  <c r="F537" i="15"/>
  <c r="G537" i="15"/>
  <c r="A538" i="15"/>
  <c r="B538" i="15"/>
  <c r="C538" i="15"/>
  <c r="D538" i="15"/>
  <c r="F538" i="15"/>
  <c r="G538" i="15"/>
  <c r="A539" i="15"/>
  <c r="B539" i="15"/>
  <c r="C539" i="15"/>
  <c r="D539" i="15"/>
  <c r="F539" i="15"/>
  <c r="G539" i="15"/>
  <c r="A540" i="15"/>
  <c r="B540" i="15"/>
  <c r="C540" i="15"/>
  <c r="D540" i="15"/>
  <c r="F540" i="15"/>
  <c r="G540" i="15"/>
  <c r="A541" i="15"/>
  <c r="B541" i="15"/>
  <c r="C541" i="15"/>
  <c r="D541" i="15"/>
  <c r="F541" i="15"/>
  <c r="G541" i="15"/>
  <c r="A542" i="15"/>
  <c r="B542" i="15"/>
  <c r="C542" i="15"/>
  <c r="D542" i="15"/>
  <c r="F542" i="15"/>
  <c r="G542" i="15"/>
  <c r="A543" i="15"/>
  <c r="B543" i="15"/>
  <c r="C543" i="15"/>
  <c r="D543" i="15"/>
  <c r="F543" i="15"/>
  <c r="G543" i="15"/>
  <c r="A544" i="15"/>
  <c r="B544" i="15"/>
  <c r="C544" i="15"/>
  <c r="D544" i="15"/>
  <c r="F544" i="15"/>
  <c r="G544" i="15"/>
  <c r="A545" i="15"/>
  <c r="B545" i="15"/>
  <c r="C545" i="15"/>
  <c r="D545" i="15"/>
  <c r="F545" i="15"/>
  <c r="G545" i="15"/>
  <c r="A546" i="15"/>
  <c r="B546" i="15"/>
  <c r="C546" i="15"/>
  <c r="D546" i="15"/>
  <c r="F546" i="15"/>
  <c r="G546" i="15"/>
  <c r="A547" i="15"/>
  <c r="B547" i="15"/>
  <c r="C547" i="15"/>
  <c r="D547" i="15"/>
  <c r="F547" i="15"/>
  <c r="G547" i="15"/>
  <c r="A548" i="15"/>
  <c r="B548" i="15"/>
  <c r="C548" i="15"/>
  <c r="D548" i="15"/>
  <c r="F548" i="15"/>
  <c r="G548" i="15"/>
  <c r="A549" i="15"/>
  <c r="B549" i="15"/>
  <c r="C549" i="15"/>
  <c r="D549" i="15"/>
  <c r="F549" i="15"/>
  <c r="G549" i="15"/>
  <c r="A550" i="15"/>
  <c r="B550" i="15"/>
  <c r="C550" i="15"/>
  <c r="D550" i="15"/>
  <c r="F550" i="15"/>
  <c r="G550" i="15"/>
  <c r="A551" i="15"/>
  <c r="B551" i="15"/>
  <c r="C551" i="15"/>
  <c r="D551" i="15"/>
  <c r="F551" i="15"/>
  <c r="G551" i="15"/>
  <c r="A552" i="15"/>
  <c r="B552" i="15"/>
  <c r="C552" i="15"/>
  <c r="D552" i="15"/>
  <c r="F552" i="15"/>
  <c r="G552" i="15"/>
  <c r="A553" i="15"/>
  <c r="B553" i="15"/>
  <c r="C553" i="15"/>
  <c r="D553" i="15"/>
  <c r="F553" i="15"/>
  <c r="G553" i="15"/>
  <c r="A554" i="15"/>
  <c r="B554" i="15"/>
  <c r="C554" i="15"/>
  <c r="D554" i="15"/>
  <c r="F554" i="15"/>
  <c r="G554" i="15"/>
  <c r="A555" i="15"/>
  <c r="B555" i="15"/>
  <c r="C555" i="15"/>
  <c r="D555" i="15"/>
  <c r="F555" i="15"/>
  <c r="G555" i="15"/>
  <c r="A556" i="15"/>
  <c r="B556" i="15"/>
  <c r="C556" i="15"/>
  <c r="D556" i="15"/>
  <c r="F556" i="15"/>
  <c r="G556" i="15"/>
  <c r="A557" i="15"/>
  <c r="B557" i="15"/>
  <c r="C557" i="15"/>
  <c r="D557" i="15"/>
  <c r="F557" i="15"/>
  <c r="G557" i="15"/>
  <c r="A558" i="15"/>
  <c r="B558" i="15"/>
  <c r="C558" i="15"/>
  <c r="D558" i="15"/>
  <c r="F558" i="15"/>
  <c r="G558" i="15"/>
  <c r="A559" i="15"/>
  <c r="B559" i="15"/>
  <c r="C559" i="15"/>
  <c r="D559" i="15"/>
  <c r="F559" i="15"/>
  <c r="G559" i="15"/>
  <c r="A560" i="15"/>
  <c r="B560" i="15"/>
  <c r="C560" i="15"/>
  <c r="D560" i="15"/>
  <c r="F560" i="15"/>
  <c r="G560" i="15"/>
  <c r="A561" i="15"/>
  <c r="B561" i="15"/>
  <c r="C561" i="15"/>
  <c r="D561" i="15"/>
  <c r="F561" i="15"/>
  <c r="G561" i="15"/>
  <c r="A562" i="15"/>
  <c r="B562" i="15"/>
  <c r="C562" i="15"/>
  <c r="D562" i="15"/>
  <c r="F562" i="15"/>
  <c r="G562" i="15"/>
  <c r="A563" i="15"/>
  <c r="B563" i="15"/>
  <c r="C563" i="15"/>
  <c r="D563" i="15"/>
  <c r="F563" i="15"/>
  <c r="G563" i="15"/>
  <c r="A564" i="15"/>
  <c r="B564" i="15"/>
  <c r="C564" i="15"/>
  <c r="D564" i="15"/>
  <c r="F564" i="15"/>
  <c r="G564" i="15"/>
  <c r="A565" i="15"/>
  <c r="B565" i="15"/>
  <c r="C565" i="15"/>
  <c r="D565" i="15"/>
  <c r="F565" i="15"/>
  <c r="G565" i="15"/>
  <c r="A566" i="15"/>
  <c r="B566" i="15"/>
  <c r="C566" i="15"/>
  <c r="D566" i="15"/>
  <c r="F566" i="15"/>
  <c r="G566" i="15"/>
  <c r="A567" i="15"/>
  <c r="B567" i="15"/>
  <c r="C567" i="15"/>
  <c r="D567" i="15"/>
  <c r="F567" i="15"/>
  <c r="G567" i="15"/>
  <c r="A568" i="15"/>
  <c r="B568" i="15"/>
  <c r="C568" i="15"/>
  <c r="D568" i="15"/>
  <c r="F568" i="15"/>
  <c r="G568" i="15"/>
  <c r="A569" i="15"/>
  <c r="B569" i="15"/>
  <c r="C569" i="15"/>
  <c r="D569" i="15"/>
  <c r="F569" i="15"/>
  <c r="G569" i="15"/>
  <c r="A570" i="15"/>
  <c r="B570" i="15"/>
  <c r="C570" i="15"/>
  <c r="D570" i="15"/>
  <c r="F570" i="15"/>
  <c r="G570" i="15"/>
  <c r="A571" i="15"/>
  <c r="B571" i="15"/>
  <c r="C571" i="15"/>
  <c r="D571" i="15"/>
  <c r="F571" i="15"/>
  <c r="G571" i="15"/>
  <c r="A572" i="15"/>
  <c r="B572" i="15"/>
  <c r="C572" i="15"/>
  <c r="D572" i="15"/>
  <c r="F572" i="15"/>
  <c r="G572" i="15"/>
  <c r="A573" i="15"/>
  <c r="B573" i="15"/>
  <c r="C573" i="15"/>
  <c r="D573" i="15"/>
  <c r="F573" i="15"/>
  <c r="G573" i="15"/>
  <c r="A574" i="15"/>
  <c r="B574" i="15"/>
  <c r="C574" i="15"/>
  <c r="D574" i="15"/>
  <c r="F574" i="15"/>
  <c r="G574" i="15"/>
  <c r="A575" i="15"/>
  <c r="B575" i="15"/>
  <c r="C575" i="15"/>
  <c r="D575" i="15"/>
  <c r="F575" i="15"/>
  <c r="G575" i="15"/>
  <c r="A576" i="15"/>
  <c r="B576" i="15"/>
  <c r="C576" i="15"/>
  <c r="D576" i="15"/>
  <c r="F576" i="15"/>
  <c r="G576" i="15"/>
  <c r="A577" i="15"/>
  <c r="B577" i="15"/>
  <c r="C577" i="15"/>
  <c r="D577" i="15"/>
  <c r="F577" i="15"/>
  <c r="G577" i="15"/>
  <c r="A578" i="15"/>
  <c r="B578" i="15"/>
  <c r="C578" i="15"/>
  <c r="D578" i="15"/>
  <c r="F578" i="15"/>
  <c r="G578" i="15"/>
  <c r="A579" i="15"/>
  <c r="B579" i="15"/>
  <c r="C579" i="15"/>
  <c r="D579" i="15"/>
  <c r="F579" i="15"/>
  <c r="G579" i="15"/>
  <c r="A580" i="15"/>
  <c r="B580" i="15"/>
  <c r="C580" i="15"/>
  <c r="D580" i="15"/>
  <c r="F580" i="15"/>
  <c r="G580" i="15"/>
  <c r="A581" i="15"/>
  <c r="B581" i="15"/>
  <c r="C581" i="15"/>
  <c r="D581" i="15"/>
  <c r="F581" i="15"/>
  <c r="G581" i="15"/>
  <c r="A582" i="15"/>
  <c r="B582" i="15"/>
  <c r="C582" i="15"/>
  <c r="D582" i="15"/>
  <c r="F582" i="15"/>
  <c r="G582" i="15"/>
  <c r="A583" i="15"/>
  <c r="B583" i="15"/>
  <c r="C583" i="15"/>
  <c r="D583" i="15"/>
  <c r="F583" i="15"/>
  <c r="G583" i="15"/>
  <c r="A584" i="15"/>
  <c r="B584" i="15"/>
  <c r="C584" i="15"/>
  <c r="D584" i="15"/>
  <c r="F584" i="15"/>
  <c r="G584" i="15"/>
  <c r="A585" i="15"/>
  <c r="B585" i="15"/>
  <c r="C585" i="15"/>
  <c r="D585" i="15"/>
  <c r="F585" i="15"/>
  <c r="G585" i="15"/>
  <c r="A586" i="15"/>
  <c r="B586" i="15"/>
  <c r="C586" i="15"/>
  <c r="D586" i="15"/>
  <c r="F586" i="15"/>
  <c r="G586" i="15"/>
  <c r="A587" i="15"/>
  <c r="B587" i="15"/>
  <c r="C587" i="15"/>
  <c r="D587" i="15"/>
  <c r="F587" i="15"/>
  <c r="G587" i="15"/>
  <c r="A588" i="15"/>
  <c r="B588" i="15"/>
  <c r="C588" i="15"/>
  <c r="D588" i="15"/>
  <c r="F588" i="15"/>
  <c r="G588" i="15"/>
  <c r="A589" i="15"/>
  <c r="B589" i="15"/>
  <c r="C589" i="15"/>
  <c r="D589" i="15"/>
  <c r="F589" i="15"/>
  <c r="G589" i="15"/>
  <c r="A590" i="15"/>
  <c r="B590" i="15"/>
  <c r="C590" i="15"/>
  <c r="D590" i="15"/>
  <c r="F590" i="15"/>
  <c r="G590" i="15"/>
  <c r="A591" i="15"/>
  <c r="B591" i="15"/>
  <c r="C591" i="15"/>
  <c r="D591" i="15"/>
  <c r="F591" i="15"/>
  <c r="G591" i="15"/>
  <c r="A592" i="15"/>
  <c r="B592" i="15"/>
  <c r="C592" i="15"/>
  <c r="D592" i="15"/>
  <c r="F592" i="15"/>
  <c r="G592" i="15"/>
  <c r="A593" i="15"/>
  <c r="B593" i="15"/>
  <c r="C593" i="15"/>
  <c r="D593" i="15"/>
  <c r="F593" i="15"/>
  <c r="G593" i="15"/>
  <c r="A594" i="15"/>
  <c r="B594" i="15"/>
  <c r="C594" i="15"/>
  <c r="D594" i="15"/>
  <c r="F594" i="15"/>
  <c r="G594" i="15"/>
  <c r="A595" i="15"/>
  <c r="B595" i="15"/>
  <c r="C595" i="15"/>
  <c r="D595" i="15"/>
  <c r="F595" i="15"/>
  <c r="G595" i="15"/>
  <c r="A596" i="15"/>
  <c r="B596" i="15"/>
  <c r="C596" i="15"/>
  <c r="D596" i="15"/>
  <c r="F596" i="15"/>
  <c r="G596" i="15"/>
  <c r="A597" i="15"/>
  <c r="B597" i="15"/>
  <c r="C597" i="15"/>
  <c r="D597" i="15"/>
  <c r="F597" i="15"/>
  <c r="G597" i="15"/>
  <c r="A598" i="15"/>
  <c r="B598" i="15"/>
  <c r="C598" i="15"/>
  <c r="D598" i="15"/>
  <c r="F598" i="15"/>
  <c r="G598" i="15"/>
  <c r="A599" i="15"/>
  <c r="B599" i="15"/>
  <c r="C599" i="15"/>
  <c r="D599" i="15"/>
  <c r="F599" i="15"/>
  <c r="G599" i="15"/>
  <c r="A600" i="15"/>
  <c r="B600" i="15"/>
  <c r="C600" i="15"/>
  <c r="D600" i="15"/>
  <c r="F600" i="15"/>
  <c r="G600" i="15"/>
  <c r="A601" i="15"/>
  <c r="B601" i="15"/>
  <c r="C601" i="15"/>
  <c r="D601" i="15"/>
  <c r="F601" i="15"/>
  <c r="G601" i="15"/>
  <c r="A602" i="15"/>
  <c r="B602" i="15"/>
  <c r="C602" i="15"/>
  <c r="D602" i="15"/>
  <c r="F602" i="15"/>
  <c r="G602" i="15"/>
  <c r="A603" i="15"/>
  <c r="B603" i="15"/>
  <c r="C603" i="15"/>
  <c r="D603" i="15"/>
  <c r="F603" i="15"/>
  <c r="G603" i="15"/>
  <c r="A604" i="15"/>
  <c r="B604" i="15"/>
  <c r="C604" i="15"/>
  <c r="D604" i="15"/>
  <c r="F604" i="15"/>
  <c r="G604" i="15"/>
  <c r="A605" i="15"/>
  <c r="B605" i="15"/>
  <c r="C605" i="15"/>
  <c r="D605" i="15"/>
  <c r="F605" i="15"/>
  <c r="G605" i="15"/>
  <c r="A606" i="15"/>
  <c r="B606" i="15"/>
  <c r="C606" i="15"/>
  <c r="D606" i="15"/>
  <c r="F606" i="15"/>
  <c r="G606" i="15"/>
  <c r="A607" i="15"/>
  <c r="B607" i="15"/>
  <c r="C607" i="15"/>
  <c r="D607" i="15"/>
  <c r="F607" i="15"/>
  <c r="G607" i="15"/>
  <c r="A608" i="15"/>
  <c r="B608" i="15"/>
  <c r="C608" i="15"/>
  <c r="D608" i="15"/>
  <c r="F608" i="15"/>
  <c r="G608" i="15"/>
  <c r="A609" i="15"/>
  <c r="B609" i="15"/>
  <c r="C609" i="15"/>
  <c r="D609" i="15"/>
  <c r="F609" i="15"/>
  <c r="G609" i="15"/>
  <c r="A610" i="15"/>
  <c r="B610" i="15"/>
  <c r="C610" i="15"/>
  <c r="D610" i="15"/>
  <c r="F610" i="15"/>
  <c r="G610" i="15"/>
  <c r="A611" i="15"/>
  <c r="B611" i="15"/>
  <c r="C611" i="15"/>
  <c r="D611" i="15"/>
  <c r="F611" i="15"/>
  <c r="G611" i="15"/>
  <c r="A612" i="15"/>
  <c r="B612" i="15"/>
  <c r="C612" i="15"/>
  <c r="D612" i="15"/>
  <c r="F612" i="15"/>
  <c r="G612" i="15"/>
  <c r="A613" i="15"/>
  <c r="B613" i="15"/>
  <c r="C613" i="15"/>
  <c r="D613" i="15"/>
  <c r="F613" i="15"/>
  <c r="G613" i="15"/>
  <c r="A614" i="15"/>
  <c r="B614" i="15"/>
  <c r="C614" i="15"/>
  <c r="D614" i="15"/>
  <c r="F614" i="15"/>
  <c r="G614" i="15"/>
  <c r="A615" i="15"/>
  <c r="B615" i="15"/>
  <c r="C615" i="15"/>
  <c r="D615" i="15"/>
  <c r="F615" i="15"/>
  <c r="G615" i="15"/>
  <c r="A616" i="15"/>
  <c r="B616" i="15"/>
  <c r="C616" i="15"/>
  <c r="D616" i="15"/>
  <c r="F616" i="15"/>
  <c r="G616" i="15"/>
  <c r="A617" i="15"/>
  <c r="B617" i="15"/>
  <c r="C617" i="15"/>
  <c r="D617" i="15"/>
  <c r="F617" i="15"/>
  <c r="G617" i="15"/>
  <c r="A25" i="16" l="1"/>
  <c r="B25" i="16"/>
  <c r="C25" i="16"/>
  <c r="D25" i="16"/>
  <c r="E25" i="16"/>
  <c r="F25" i="16"/>
  <c r="G25" i="16"/>
  <c r="A26" i="16"/>
  <c r="B26" i="16"/>
  <c r="C26" i="16"/>
  <c r="D26" i="16"/>
  <c r="E26" i="16"/>
  <c r="F26" i="16"/>
  <c r="G26" i="16"/>
  <c r="A27" i="16"/>
  <c r="B27" i="16"/>
  <c r="C27" i="16"/>
  <c r="D27" i="16"/>
  <c r="E27" i="16"/>
  <c r="F27" i="16"/>
  <c r="G27" i="16"/>
  <c r="A28" i="16"/>
  <c r="B28" i="16"/>
  <c r="C28" i="16"/>
  <c r="D28" i="16"/>
  <c r="E28" i="16"/>
  <c r="F28" i="16"/>
  <c r="G28" i="16"/>
  <c r="A29" i="16"/>
  <c r="B29" i="16"/>
  <c r="C29" i="16"/>
  <c r="D29" i="16"/>
  <c r="E29" i="16"/>
  <c r="F29" i="16"/>
  <c r="G29" i="16"/>
  <c r="A3" i="16"/>
  <c r="B3" i="16"/>
  <c r="C3" i="16"/>
  <c r="D3" i="16"/>
  <c r="E3" i="16"/>
  <c r="F3" i="16"/>
  <c r="G3" i="16"/>
  <c r="A4" i="16"/>
  <c r="B4" i="16"/>
  <c r="C4" i="16"/>
  <c r="D4" i="16"/>
  <c r="E4" i="16"/>
  <c r="F4" i="16"/>
  <c r="G4" i="16"/>
  <c r="A5" i="16"/>
  <c r="B5" i="16"/>
  <c r="C5" i="16"/>
  <c r="D5" i="16"/>
  <c r="E5" i="16"/>
  <c r="F5" i="16"/>
  <c r="G5" i="16"/>
  <c r="A6" i="16"/>
  <c r="B6" i="16"/>
  <c r="C6" i="16"/>
  <c r="D6" i="16"/>
  <c r="E6" i="16"/>
  <c r="F6" i="16"/>
  <c r="G6" i="16"/>
  <c r="A7" i="16"/>
  <c r="B7" i="16"/>
  <c r="C7" i="16"/>
  <c r="D7" i="16"/>
  <c r="E7" i="16"/>
  <c r="F7" i="16"/>
  <c r="G7" i="16"/>
  <c r="A8" i="16"/>
  <c r="B8" i="16"/>
  <c r="C8" i="16"/>
  <c r="D8" i="16"/>
  <c r="E8" i="16"/>
  <c r="F8" i="16"/>
  <c r="G8" i="16"/>
  <c r="A9" i="16"/>
  <c r="B9" i="16"/>
  <c r="C9" i="16"/>
  <c r="D9" i="16"/>
  <c r="E9" i="16"/>
  <c r="F9" i="16"/>
  <c r="G9" i="16"/>
  <c r="A10" i="16"/>
  <c r="B10" i="16"/>
  <c r="C10" i="16"/>
  <c r="D10" i="16"/>
  <c r="E10" i="16"/>
  <c r="F10" i="16"/>
  <c r="G10" i="16"/>
  <c r="A11" i="16"/>
  <c r="B11" i="16"/>
  <c r="C11" i="16"/>
  <c r="D11" i="16"/>
  <c r="E11" i="16"/>
  <c r="F11" i="16"/>
  <c r="G11" i="16"/>
  <c r="A12" i="16"/>
  <c r="B12" i="16"/>
  <c r="C12" i="16"/>
  <c r="D12" i="16"/>
  <c r="E12" i="16"/>
  <c r="F12" i="16"/>
  <c r="G12" i="16"/>
  <c r="A13" i="16"/>
  <c r="B13" i="16"/>
  <c r="C13" i="16"/>
  <c r="D13" i="16"/>
  <c r="E13" i="16"/>
  <c r="F13" i="16"/>
  <c r="G13" i="16"/>
  <c r="A14" i="16"/>
  <c r="B14" i="16"/>
  <c r="C14" i="16"/>
  <c r="D14" i="16"/>
  <c r="E14" i="16"/>
  <c r="F14" i="16"/>
  <c r="G14" i="16"/>
  <c r="A15" i="16"/>
  <c r="B15" i="16"/>
  <c r="C15" i="16"/>
  <c r="D15" i="16"/>
  <c r="E15" i="16"/>
  <c r="F15" i="16"/>
  <c r="G15" i="16"/>
  <c r="A16" i="16"/>
  <c r="B16" i="16"/>
  <c r="C16" i="16"/>
  <c r="D16" i="16"/>
  <c r="E16" i="16"/>
  <c r="F16" i="16"/>
  <c r="G16" i="16"/>
  <c r="A17" i="16"/>
  <c r="B17" i="16"/>
  <c r="C17" i="16"/>
  <c r="D17" i="16"/>
  <c r="E17" i="16"/>
  <c r="F17" i="16"/>
  <c r="G17" i="16"/>
  <c r="A18" i="16"/>
  <c r="B18" i="16"/>
  <c r="C18" i="16"/>
  <c r="D18" i="16"/>
  <c r="E18" i="16"/>
  <c r="F18" i="16"/>
  <c r="G18" i="16"/>
  <c r="A19" i="16"/>
  <c r="B19" i="16"/>
  <c r="C19" i="16"/>
  <c r="D19" i="16"/>
  <c r="E19" i="16"/>
  <c r="F19" i="16"/>
  <c r="G19" i="16"/>
  <c r="A20" i="16"/>
  <c r="B20" i="16"/>
  <c r="C20" i="16"/>
  <c r="D20" i="16"/>
  <c r="E20" i="16"/>
  <c r="F20" i="16"/>
  <c r="G20" i="16"/>
  <c r="A21" i="16"/>
  <c r="B21" i="16"/>
  <c r="C21" i="16"/>
  <c r="D21" i="16"/>
  <c r="E21" i="16"/>
  <c r="F21" i="16"/>
  <c r="G21" i="16"/>
  <c r="A22" i="16"/>
  <c r="B22" i="16"/>
  <c r="C22" i="16"/>
  <c r="D22" i="16"/>
  <c r="E22" i="16"/>
  <c r="F22" i="16"/>
  <c r="G22" i="16"/>
  <c r="A23" i="16"/>
  <c r="B23" i="16"/>
  <c r="C23" i="16"/>
  <c r="D23" i="16"/>
  <c r="E23" i="16"/>
  <c r="F23" i="16"/>
  <c r="G23" i="16"/>
  <c r="A24" i="16"/>
  <c r="B24" i="16"/>
  <c r="C24" i="16"/>
  <c r="D24" i="16"/>
  <c r="E24" i="16"/>
  <c r="F24" i="16"/>
  <c r="G24" i="16"/>
  <c r="G2" i="16" l="1"/>
  <c r="F2" i="16"/>
  <c r="E2" i="16"/>
  <c r="D2" i="16"/>
  <c r="C2" i="16"/>
  <c r="B2" i="16"/>
  <c r="A2" i="16"/>
  <c r="A618" i="15" l="1"/>
  <c r="B618" i="15"/>
  <c r="C618" i="15"/>
  <c r="D618" i="15"/>
  <c r="F618" i="15"/>
  <c r="G618" i="15"/>
  <c r="A619" i="15"/>
  <c r="B619" i="15"/>
  <c r="C619" i="15"/>
  <c r="D619" i="15"/>
  <c r="F619" i="15"/>
  <c r="G619" i="15"/>
  <c r="A620" i="15"/>
  <c r="B620" i="15"/>
  <c r="C620" i="15"/>
  <c r="D620" i="15"/>
  <c r="E620" i="15"/>
  <c r="F620" i="15"/>
  <c r="G620" i="15"/>
  <c r="A621" i="15"/>
  <c r="B621" i="15"/>
  <c r="C621" i="15"/>
  <c r="D621" i="15"/>
  <c r="E621" i="15"/>
  <c r="F621" i="15"/>
  <c r="G621" i="15"/>
  <c r="A622" i="15"/>
  <c r="B622" i="15"/>
  <c r="C622" i="15"/>
  <c r="D622" i="15"/>
  <c r="E622" i="15"/>
  <c r="F622" i="15"/>
  <c r="G622" i="15"/>
  <c r="A623" i="15"/>
  <c r="B623" i="15"/>
  <c r="C623" i="15"/>
  <c r="D623" i="15"/>
  <c r="E623" i="15"/>
  <c r="F623" i="15"/>
  <c r="G623" i="15"/>
  <c r="A624" i="15"/>
  <c r="B624" i="15"/>
  <c r="C624" i="15"/>
  <c r="D624" i="15"/>
  <c r="F624" i="15"/>
  <c r="G624" i="15"/>
  <c r="A625" i="15"/>
  <c r="B625" i="15"/>
  <c r="C625" i="15"/>
  <c r="D625" i="15"/>
  <c r="E625" i="15"/>
  <c r="F625" i="15"/>
  <c r="G625" i="15"/>
  <c r="A626" i="15"/>
  <c r="B626" i="15"/>
  <c r="C626" i="15"/>
  <c r="D626" i="15"/>
  <c r="F626" i="15"/>
  <c r="G626" i="15"/>
  <c r="A627" i="15"/>
  <c r="B627" i="15"/>
  <c r="C627" i="15"/>
  <c r="D627" i="15"/>
  <c r="F627" i="15"/>
  <c r="G627" i="15"/>
  <c r="A628" i="15"/>
  <c r="B628" i="15"/>
  <c r="C628" i="15"/>
  <c r="D628" i="15"/>
  <c r="E628" i="15"/>
  <c r="F628" i="15"/>
  <c r="G628" i="15"/>
  <c r="A629" i="15"/>
  <c r="B629" i="15"/>
  <c r="C629" i="15"/>
  <c r="D629" i="15"/>
  <c r="E629" i="15"/>
  <c r="F629" i="15"/>
  <c r="G629" i="15"/>
  <c r="A630" i="15"/>
  <c r="B630" i="15"/>
  <c r="C630" i="15"/>
  <c r="D630" i="15"/>
  <c r="E630" i="15"/>
  <c r="F630" i="15"/>
  <c r="G630" i="15"/>
  <c r="A631" i="15"/>
  <c r="B631" i="15"/>
  <c r="C631" i="15"/>
  <c r="D631" i="15"/>
  <c r="E631" i="15"/>
  <c r="F631" i="15"/>
  <c r="G631" i="15"/>
  <c r="A632" i="15"/>
  <c r="B632" i="15"/>
  <c r="C632" i="15"/>
  <c r="D632" i="15"/>
  <c r="F632" i="15"/>
  <c r="G632" i="15"/>
  <c r="A633" i="15"/>
  <c r="B633" i="15"/>
  <c r="C633" i="15"/>
  <c r="D633" i="15"/>
  <c r="E633" i="15"/>
  <c r="F633" i="15"/>
  <c r="G633" i="15"/>
  <c r="A634" i="15"/>
  <c r="B634" i="15"/>
  <c r="C634" i="15"/>
  <c r="D634" i="15"/>
  <c r="E634" i="15"/>
  <c r="F634" i="15"/>
  <c r="G634" i="15"/>
  <c r="A635" i="15"/>
  <c r="B635" i="15"/>
  <c r="C635" i="15"/>
  <c r="D635" i="15"/>
  <c r="E635" i="15"/>
  <c r="F635" i="15"/>
  <c r="G635" i="15"/>
  <c r="A636" i="15"/>
  <c r="B636" i="15"/>
  <c r="C636" i="15"/>
  <c r="D636" i="15"/>
  <c r="E636" i="15"/>
  <c r="F636" i="15"/>
  <c r="G636" i="15"/>
  <c r="A637" i="15"/>
  <c r="B637" i="15"/>
  <c r="C637" i="15"/>
  <c r="D637" i="15"/>
  <c r="E637" i="15"/>
  <c r="F637" i="15"/>
  <c r="G637" i="15"/>
  <c r="A638" i="15"/>
  <c r="B638" i="15"/>
  <c r="C638" i="15"/>
  <c r="D638" i="15"/>
  <c r="E638" i="15"/>
  <c r="F638" i="15"/>
  <c r="G638" i="15"/>
  <c r="A639" i="15"/>
  <c r="B639" i="15"/>
  <c r="C639" i="15"/>
  <c r="D639" i="15"/>
  <c r="E639" i="15"/>
  <c r="F639" i="15"/>
  <c r="G639" i="15"/>
  <c r="A640" i="15"/>
  <c r="B640" i="15"/>
  <c r="C640" i="15"/>
  <c r="D640" i="15"/>
  <c r="E640" i="15"/>
  <c r="F640" i="15"/>
  <c r="G640" i="15"/>
  <c r="A641" i="15"/>
  <c r="B641" i="15"/>
  <c r="C641" i="15"/>
  <c r="D641" i="15"/>
  <c r="E641" i="15"/>
  <c r="F641" i="15"/>
  <c r="G641" i="15"/>
  <c r="A642" i="15"/>
  <c r="B642" i="15"/>
  <c r="C642" i="15"/>
  <c r="D642" i="15"/>
  <c r="E642" i="15"/>
  <c r="F642" i="15"/>
  <c r="G642" i="15"/>
  <c r="A643" i="15"/>
  <c r="B643" i="15"/>
  <c r="C643" i="15"/>
  <c r="D643" i="15"/>
  <c r="E643" i="15"/>
  <c r="F643" i="15"/>
  <c r="G643" i="15"/>
  <c r="A644" i="15"/>
  <c r="B644" i="15"/>
  <c r="C644" i="15"/>
  <c r="D644" i="15"/>
  <c r="E644" i="15"/>
  <c r="F644" i="15"/>
  <c r="G644" i="15"/>
  <c r="A645" i="15"/>
  <c r="B645" i="15"/>
  <c r="C645" i="15"/>
  <c r="D645" i="15"/>
  <c r="E645" i="15"/>
  <c r="F645" i="15"/>
  <c r="G645" i="15"/>
  <c r="A646" i="15"/>
  <c r="B646" i="15"/>
  <c r="C646" i="15"/>
  <c r="D646" i="15"/>
  <c r="E646" i="15"/>
  <c r="F646" i="15"/>
  <c r="G646" i="15"/>
  <c r="A647" i="15"/>
  <c r="B647" i="15"/>
  <c r="C647" i="15"/>
  <c r="D647" i="15"/>
  <c r="E647" i="15"/>
  <c r="F647" i="15"/>
  <c r="G647" i="15"/>
  <c r="A648" i="15"/>
  <c r="B648" i="15"/>
  <c r="C648" i="15"/>
  <c r="D648" i="15"/>
  <c r="E648" i="15"/>
  <c r="F648" i="15"/>
  <c r="G648" i="15"/>
  <c r="A649" i="15"/>
  <c r="B649" i="15"/>
  <c r="C649" i="15"/>
  <c r="D649" i="15"/>
  <c r="E649" i="15"/>
  <c r="F649" i="15"/>
  <c r="G649" i="15"/>
  <c r="A650" i="15"/>
  <c r="B650" i="15"/>
  <c r="C650" i="15"/>
  <c r="D650" i="15"/>
  <c r="E650" i="15"/>
  <c r="F650" i="15"/>
  <c r="G650" i="15"/>
  <c r="A651" i="15"/>
  <c r="B651" i="15"/>
  <c r="C651" i="15"/>
  <c r="D651" i="15"/>
  <c r="E651" i="15"/>
  <c r="F651" i="15"/>
  <c r="G651" i="15"/>
  <c r="A652" i="15"/>
  <c r="B652" i="15"/>
  <c r="C652" i="15"/>
  <c r="D652" i="15"/>
  <c r="E652" i="15"/>
  <c r="F652" i="15"/>
  <c r="G652" i="15"/>
  <c r="A653" i="15"/>
  <c r="B653" i="15"/>
  <c r="C653" i="15"/>
  <c r="D653" i="15"/>
  <c r="E653" i="15"/>
  <c r="F653" i="15"/>
  <c r="G653" i="15"/>
  <c r="A654" i="15"/>
  <c r="B654" i="15"/>
  <c r="C654" i="15"/>
  <c r="D654" i="15"/>
  <c r="E654" i="15"/>
  <c r="F654" i="15"/>
  <c r="G654" i="15"/>
  <c r="A655" i="15"/>
  <c r="B655" i="15"/>
  <c r="C655" i="15"/>
  <c r="D655" i="15"/>
  <c r="E655" i="15"/>
  <c r="F655" i="15"/>
  <c r="G655" i="15"/>
  <c r="A656" i="15"/>
  <c r="B656" i="15"/>
  <c r="C656" i="15"/>
  <c r="D656" i="15"/>
  <c r="E656" i="15"/>
  <c r="F656" i="15"/>
  <c r="G656" i="15"/>
  <c r="A657" i="15"/>
  <c r="B657" i="15"/>
  <c r="C657" i="15"/>
  <c r="D657" i="15"/>
  <c r="E657" i="15"/>
  <c r="F657" i="15"/>
  <c r="G657" i="15"/>
  <c r="A658" i="15"/>
  <c r="B658" i="15"/>
  <c r="C658" i="15"/>
  <c r="D658" i="15"/>
  <c r="E658" i="15"/>
  <c r="F658" i="15"/>
  <c r="G658" i="15"/>
  <c r="A659" i="15"/>
  <c r="B659" i="15"/>
  <c r="C659" i="15"/>
  <c r="D659" i="15"/>
  <c r="E659" i="15"/>
  <c r="F659" i="15"/>
  <c r="G659" i="15"/>
  <c r="A660" i="15"/>
  <c r="B660" i="15"/>
  <c r="C660" i="15"/>
  <c r="D660" i="15"/>
  <c r="E660" i="15"/>
  <c r="F660" i="15"/>
  <c r="G660" i="15"/>
  <c r="A661" i="15"/>
  <c r="B661" i="15"/>
  <c r="C661" i="15"/>
  <c r="D661" i="15"/>
  <c r="E661" i="15"/>
  <c r="F661" i="15"/>
  <c r="G661" i="15"/>
  <c r="A662" i="15"/>
  <c r="B662" i="15"/>
  <c r="C662" i="15"/>
  <c r="D662" i="15"/>
  <c r="E662" i="15"/>
  <c r="F662" i="15"/>
  <c r="G662" i="15"/>
  <c r="A663" i="15"/>
  <c r="B663" i="15"/>
  <c r="C663" i="15"/>
  <c r="D663" i="15"/>
  <c r="E663" i="15"/>
  <c r="F663" i="15"/>
  <c r="G663" i="15"/>
  <c r="A664" i="15"/>
  <c r="B664" i="15"/>
  <c r="C664" i="15"/>
  <c r="D664" i="15"/>
  <c r="E664" i="15"/>
  <c r="F664" i="15"/>
  <c r="G664" i="15"/>
  <c r="A665" i="15"/>
  <c r="B665" i="15"/>
  <c r="C665" i="15"/>
  <c r="D665" i="15"/>
  <c r="E665" i="15"/>
  <c r="F665" i="15"/>
  <c r="G665" i="15"/>
  <c r="A666" i="15"/>
  <c r="B666" i="15"/>
  <c r="C666" i="15"/>
  <c r="D666" i="15"/>
  <c r="E666" i="15"/>
  <c r="F666" i="15"/>
  <c r="G666" i="15"/>
  <c r="A667" i="15"/>
  <c r="B667" i="15"/>
  <c r="C667" i="15"/>
  <c r="D667" i="15"/>
  <c r="E667" i="15"/>
  <c r="F667" i="15"/>
  <c r="G667" i="15"/>
  <c r="A668" i="15"/>
  <c r="B668" i="15"/>
  <c r="C668" i="15"/>
  <c r="D668" i="15"/>
  <c r="E668" i="15"/>
  <c r="F668" i="15"/>
  <c r="G668" i="15"/>
  <c r="A669" i="15"/>
  <c r="B669" i="15"/>
  <c r="C669" i="15"/>
  <c r="D669" i="15"/>
  <c r="E669" i="15"/>
  <c r="F669" i="15"/>
  <c r="G669" i="15"/>
  <c r="A670" i="15"/>
  <c r="B670" i="15"/>
  <c r="C670" i="15"/>
  <c r="D670" i="15"/>
  <c r="E670" i="15"/>
  <c r="F670" i="15"/>
  <c r="G670" i="15"/>
  <c r="A671" i="15"/>
  <c r="B671" i="15"/>
  <c r="C671" i="15"/>
  <c r="D671" i="15"/>
  <c r="E671" i="15"/>
  <c r="F671" i="15"/>
  <c r="G671" i="15"/>
  <c r="A672" i="15"/>
  <c r="B672" i="15"/>
  <c r="C672" i="15"/>
  <c r="D672" i="15"/>
  <c r="E672" i="15"/>
  <c r="F672" i="15"/>
  <c r="G672" i="15"/>
  <c r="A673" i="15"/>
  <c r="B673" i="15"/>
  <c r="C673" i="15"/>
  <c r="D673" i="15"/>
  <c r="E673" i="15"/>
  <c r="F673" i="15"/>
  <c r="G673" i="15"/>
  <c r="A674" i="15"/>
  <c r="B674" i="15"/>
  <c r="C674" i="15"/>
  <c r="D674" i="15"/>
  <c r="E674" i="15"/>
  <c r="F674" i="15"/>
  <c r="G674" i="15"/>
  <c r="A675" i="15"/>
  <c r="B675" i="15"/>
  <c r="C675" i="15"/>
  <c r="D675" i="15"/>
  <c r="E675" i="15"/>
  <c r="F675" i="15"/>
  <c r="G675" i="15"/>
  <c r="A676" i="15"/>
  <c r="B676" i="15"/>
  <c r="C676" i="15"/>
  <c r="D676" i="15"/>
  <c r="E676" i="15"/>
  <c r="F676" i="15"/>
  <c r="G676" i="15"/>
  <c r="A677" i="15"/>
  <c r="B677" i="15"/>
  <c r="C677" i="15"/>
  <c r="D677" i="15"/>
  <c r="E677" i="15"/>
  <c r="F677" i="15"/>
  <c r="G677" i="15"/>
  <c r="A678" i="15"/>
  <c r="B678" i="15"/>
  <c r="C678" i="15"/>
  <c r="D678" i="15"/>
  <c r="E678" i="15"/>
  <c r="F678" i="15"/>
  <c r="G678" i="15"/>
  <c r="A679" i="15"/>
  <c r="B679" i="15"/>
  <c r="C679" i="15"/>
  <c r="D679" i="15"/>
  <c r="E679" i="15"/>
  <c r="F679" i="15"/>
  <c r="G679" i="15"/>
  <c r="A680" i="15"/>
  <c r="B680" i="15"/>
  <c r="C680" i="15"/>
  <c r="D680" i="15"/>
  <c r="E680" i="15"/>
  <c r="F680" i="15"/>
  <c r="G680" i="15"/>
  <c r="A681" i="15"/>
  <c r="B681" i="15"/>
  <c r="C681" i="15"/>
  <c r="D681" i="15"/>
  <c r="E681" i="15"/>
  <c r="F681" i="15"/>
  <c r="G681" i="15"/>
  <c r="A682" i="15"/>
  <c r="B682" i="15"/>
  <c r="C682" i="15"/>
  <c r="D682" i="15"/>
  <c r="E682" i="15"/>
  <c r="F682" i="15"/>
  <c r="G682" i="15"/>
  <c r="A683" i="15"/>
  <c r="B683" i="15"/>
  <c r="C683" i="15"/>
  <c r="D683" i="15"/>
  <c r="E683" i="15"/>
  <c r="F683" i="15"/>
  <c r="G683" i="15"/>
  <c r="A684" i="15"/>
  <c r="B684" i="15"/>
  <c r="C684" i="15"/>
  <c r="D684" i="15"/>
  <c r="E684" i="15"/>
  <c r="F684" i="15"/>
  <c r="G684" i="15"/>
  <c r="A685" i="15"/>
  <c r="B685" i="15"/>
  <c r="C685" i="15"/>
  <c r="D685" i="15"/>
  <c r="E685" i="15"/>
  <c r="F685" i="15"/>
  <c r="G685" i="15"/>
  <c r="A686" i="15"/>
  <c r="B686" i="15"/>
  <c r="C686" i="15"/>
  <c r="D686" i="15"/>
  <c r="E686" i="15"/>
  <c r="F686" i="15"/>
  <c r="G686" i="15"/>
  <c r="A687" i="15"/>
  <c r="B687" i="15"/>
  <c r="C687" i="15"/>
  <c r="D687" i="15"/>
  <c r="E687" i="15"/>
  <c r="F687" i="15"/>
  <c r="G687" i="15"/>
  <c r="E67" i="15" l="1"/>
  <c r="E68" i="15"/>
  <c r="E69" i="15"/>
  <c r="E70" i="15"/>
  <c r="E71" i="15"/>
  <c r="E72" i="15"/>
  <c r="E3" i="15" l="1"/>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E502" i="15"/>
  <c r="E503" i="15"/>
  <c r="E504" i="15"/>
  <c r="E505" i="15"/>
  <c r="E506" i="15"/>
  <c r="E507" i="15"/>
  <c r="E508" i="15"/>
  <c r="E509" i="15"/>
  <c r="E510" i="15"/>
  <c r="E511" i="15"/>
  <c r="E512" i="15"/>
  <c r="E513" i="15"/>
  <c r="E514" i="15"/>
  <c r="E515" i="15"/>
  <c r="E516" i="15"/>
  <c r="E517" i="15"/>
  <c r="E518" i="15"/>
  <c r="E519" i="15"/>
  <c r="E520" i="15"/>
  <c r="E521" i="15"/>
  <c r="E522" i="15"/>
  <c r="E523" i="15"/>
  <c r="E524" i="15"/>
  <c r="E525" i="15"/>
  <c r="E526" i="15"/>
  <c r="E527" i="15"/>
  <c r="E528" i="15"/>
  <c r="E529" i="15"/>
  <c r="E530" i="15"/>
  <c r="E531" i="15"/>
  <c r="E532" i="15"/>
  <c r="E533" i="15"/>
  <c r="E534" i="15"/>
  <c r="E535" i="15"/>
  <c r="E536" i="15"/>
  <c r="E537" i="15"/>
  <c r="E538" i="15"/>
  <c r="E539" i="15"/>
  <c r="E540" i="15"/>
  <c r="E541" i="15"/>
  <c r="E542" i="15"/>
  <c r="E543" i="15"/>
  <c r="E544" i="15"/>
  <c r="E545" i="15"/>
  <c r="E546" i="15"/>
  <c r="E547" i="15"/>
  <c r="E548" i="15"/>
  <c r="E549" i="15"/>
  <c r="E550" i="15"/>
  <c r="E551" i="15"/>
  <c r="E552" i="15"/>
  <c r="E553" i="15"/>
  <c r="E554" i="15"/>
  <c r="E555" i="15"/>
  <c r="E556" i="15"/>
  <c r="E557" i="15"/>
  <c r="E558" i="15"/>
  <c r="E559" i="15"/>
  <c r="E560" i="15"/>
  <c r="E561" i="15"/>
  <c r="E562" i="15"/>
  <c r="E563" i="15"/>
  <c r="E564" i="15"/>
  <c r="E565" i="15"/>
  <c r="E566" i="15"/>
  <c r="E567" i="15"/>
  <c r="E568" i="15"/>
  <c r="E569" i="15"/>
  <c r="E570" i="15"/>
  <c r="E571" i="15"/>
  <c r="E572" i="15"/>
  <c r="E573" i="15"/>
  <c r="E574" i="15"/>
  <c r="E575" i="15"/>
  <c r="E576" i="15"/>
  <c r="E577" i="15"/>
  <c r="E578" i="15"/>
  <c r="E579" i="15"/>
  <c r="E580" i="15"/>
  <c r="E581" i="15"/>
  <c r="E582" i="15"/>
  <c r="E583" i="15"/>
  <c r="E584" i="15"/>
  <c r="E585" i="15"/>
  <c r="E586" i="15"/>
  <c r="E587" i="15"/>
  <c r="E588" i="15"/>
  <c r="E589" i="15"/>
  <c r="E590" i="15"/>
  <c r="E591" i="15"/>
  <c r="E592" i="15"/>
  <c r="E593" i="15"/>
  <c r="E594" i="15"/>
  <c r="E595" i="15"/>
  <c r="E596" i="15"/>
  <c r="E597" i="15"/>
  <c r="E598" i="15"/>
  <c r="E599" i="15"/>
  <c r="E600" i="15"/>
  <c r="E601" i="15"/>
  <c r="E602" i="15"/>
  <c r="E603" i="15"/>
  <c r="E604" i="15"/>
  <c r="E605" i="15"/>
  <c r="E606" i="15"/>
  <c r="E607" i="15"/>
  <c r="E608" i="15"/>
  <c r="E609" i="15"/>
  <c r="E610" i="15"/>
  <c r="E611" i="15"/>
  <c r="E612" i="15"/>
  <c r="E613" i="15"/>
  <c r="E614" i="15"/>
  <c r="E615" i="15"/>
  <c r="E616" i="15"/>
  <c r="Q630" i="1"/>
  <c r="Q631" i="1"/>
  <c r="E619" i="15" s="1"/>
  <c r="E618" i="15" l="1"/>
  <c r="E617" i="15"/>
  <c r="Q13" i="29"/>
  <c r="Q12" i="29"/>
  <c r="Q11" i="29"/>
  <c r="Q10" i="29"/>
  <c r="Q9" i="29"/>
  <c r="Q8" i="29"/>
  <c r="Q7" i="29"/>
  <c r="Q6" i="29"/>
  <c r="Q5" i="29"/>
  <c r="Q4" i="29"/>
  <c r="Q3" i="29"/>
  <c r="F156" i="27" l="1"/>
  <c r="E156" i="27"/>
  <c r="D156" i="27"/>
  <c r="C156" i="27"/>
  <c r="B156" i="27"/>
  <c r="F155" i="27"/>
  <c r="E155" i="27"/>
  <c r="D155" i="27"/>
  <c r="C155" i="27"/>
  <c r="B155" i="27"/>
  <c r="F154" i="27"/>
  <c r="E154" i="27"/>
  <c r="D154" i="27"/>
  <c r="C154" i="27"/>
  <c r="B154" i="27"/>
  <c r="F153" i="27"/>
  <c r="E153" i="27"/>
  <c r="D153" i="27"/>
  <c r="C153" i="27"/>
  <c r="B153" i="27"/>
  <c r="F152" i="27"/>
  <c r="E152" i="27"/>
  <c r="D152" i="27"/>
  <c r="C152" i="27"/>
  <c r="B152" i="27"/>
  <c r="F151" i="27"/>
  <c r="E151" i="27"/>
  <c r="D151" i="27"/>
  <c r="C151" i="27"/>
  <c r="B151" i="27"/>
  <c r="F150" i="27"/>
  <c r="E150" i="27"/>
  <c r="D150" i="27"/>
  <c r="C150" i="27"/>
  <c r="B150" i="27"/>
  <c r="F149" i="27"/>
  <c r="E149" i="27"/>
  <c r="D149" i="27"/>
  <c r="C149" i="27"/>
  <c r="B149" i="27"/>
  <c r="F148" i="27"/>
  <c r="E148" i="27"/>
  <c r="D148" i="27"/>
  <c r="C148" i="27"/>
  <c r="B148" i="27"/>
  <c r="F147" i="27"/>
  <c r="E147" i="27"/>
  <c r="D147" i="27"/>
  <c r="C147" i="27"/>
  <c r="B147" i="27"/>
  <c r="F146" i="27"/>
  <c r="E146" i="27"/>
  <c r="D146" i="27"/>
  <c r="C146" i="27"/>
  <c r="B146" i="27"/>
  <c r="F145" i="27"/>
  <c r="E145" i="27"/>
  <c r="D145" i="27"/>
  <c r="C145" i="27"/>
  <c r="B145" i="27"/>
  <c r="F144" i="27"/>
  <c r="E144" i="27"/>
  <c r="D144" i="27"/>
  <c r="C144" i="27"/>
  <c r="B144" i="27"/>
  <c r="F143" i="27"/>
  <c r="E143" i="27"/>
  <c r="D143" i="27"/>
  <c r="C143" i="27"/>
  <c r="B143" i="27"/>
  <c r="F142" i="27"/>
  <c r="E142" i="27"/>
  <c r="D142" i="27"/>
  <c r="C142" i="27"/>
  <c r="B142" i="27"/>
  <c r="F141" i="27"/>
  <c r="E141" i="27"/>
  <c r="D141" i="27"/>
  <c r="C141" i="27"/>
  <c r="B141" i="27"/>
  <c r="F140" i="27"/>
  <c r="E140" i="27"/>
  <c r="D140" i="27"/>
  <c r="C140" i="27"/>
  <c r="B140" i="27"/>
  <c r="F139" i="27"/>
  <c r="E139" i="27"/>
  <c r="D139" i="27"/>
  <c r="C139" i="27"/>
  <c r="B139" i="27"/>
  <c r="F138" i="27"/>
  <c r="E138" i="27"/>
  <c r="D138" i="27"/>
  <c r="C138" i="27"/>
  <c r="B138" i="27"/>
  <c r="F137" i="27"/>
  <c r="E137" i="27"/>
  <c r="D137" i="27"/>
  <c r="C137" i="27"/>
  <c r="B137" i="27"/>
  <c r="F136" i="27"/>
  <c r="E136" i="27"/>
  <c r="D136" i="27"/>
  <c r="C136" i="27"/>
  <c r="B136" i="27"/>
  <c r="F135" i="27"/>
  <c r="E135" i="27"/>
  <c r="D135" i="27"/>
  <c r="C135" i="27"/>
  <c r="B135" i="27"/>
  <c r="F134" i="27"/>
  <c r="E134" i="27"/>
  <c r="D134" i="27"/>
  <c r="C134" i="27"/>
  <c r="B134" i="27"/>
  <c r="F133" i="27"/>
  <c r="E133" i="27"/>
  <c r="D133" i="27"/>
  <c r="C133" i="27"/>
  <c r="B133" i="27"/>
  <c r="F132" i="27"/>
  <c r="E132" i="27"/>
  <c r="D132" i="27"/>
  <c r="C132" i="27"/>
  <c r="B132" i="27"/>
  <c r="F131" i="27"/>
  <c r="E131" i="27"/>
  <c r="D131" i="27"/>
  <c r="C131" i="27"/>
  <c r="B131" i="27"/>
  <c r="F130" i="27"/>
  <c r="E130" i="27"/>
  <c r="D130" i="27"/>
  <c r="C130" i="27"/>
  <c r="B130" i="27"/>
  <c r="F129" i="27"/>
  <c r="E129" i="27"/>
  <c r="D129" i="27"/>
  <c r="C129" i="27"/>
  <c r="B129" i="27"/>
  <c r="F128" i="27"/>
  <c r="E128" i="27"/>
  <c r="D128" i="27"/>
  <c r="C128" i="27"/>
  <c r="B128" i="27"/>
  <c r="F127" i="27"/>
  <c r="E127" i="27"/>
  <c r="D127" i="27"/>
  <c r="C127" i="27"/>
  <c r="B127" i="27"/>
  <c r="F126" i="27"/>
  <c r="E126" i="27"/>
  <c r="D126" i="27"/>
  <c r="C126" i="27"/>
  <c r="B126" i="27"/>
  <c r="F125" i="27"/>
  <c r="E125" i="27"/>
  <c r="D125" i="27"/>
  <c r="C125" i="27"/>
  <c r="B125" i="27"/>
  <c r="F124" i="27"/>
  <c r="E124" i="27"/>
  <c r="D124" i="27"/>
  <c r="C124" i="27"/>
  <c r="B124" i="27"/>
  <c r="F123" i="27"/>
  <c r="E123" i="27"/>
  <c r="D123" i="27"/>
  <c r="C123" i="27"/>
  <c r="B123" i="27"/>
  <c r="F122" i="27"/>
  <c r="E122" i="27"/>
  <c r="D122" i="27"/>
  <c r="C122" i="27"/>
  <c r="B122" i="27"/>
  <c r="F121" i="27"/>
  <c r="E121" i="27"/>
  <c r="D121" i="27"/>
  <c r="C121" i="27"/>
  <c r="B121" i="27"/>
  <c r="F120" i="27"/>
  <c r="E120" i="27"/>
  <c r="D120" i="27"/>
  <c r="C120" i="27"/>
  <c r="B120" i="27"/>
  <c r="F119" i="27"/>
  <c r="E119" i="27"/>
  <c r="D119" i="27"/>
  <c r="C119" i="27"/>
  <c r="B119" i="27"/>
  <c r="F118" i="27"/>
  <c r="E118" i="27"/>
  <c r="D118" i="27"/>
  <c r="C118" i="27"/>
  <c r="B118" i="27"/>
  <c r="F117" i="27"/>
  <c r="E117" i="27"/>
  <c r="D117" i="27"/>
  <c r="C117" i="27"/>
  <c r="B117" i="27"/>
  <c r="F116" i="27"/>
  <c r="E116" i="27"/>
  <c r="D116" i="27"/>
  <c r="C116" i="27"/>
  <c r="B116" i="27"/>
  <c r="F115" i="27"/>
  <c r="E115" i="27"/>
  <c r="D115" i="27"/>
  <c r="C115" i="27"/>
  <c r="B115" i="27"/>
  <c r="F114" i="27"/>
  <c r="E114" i="27"/>
  <c r="D114" i="27"/>
  <c r="C114" i="27"/>
  <c r="B114" i="27"/>
  <c r="F113" i="27"/>
  <c r="E113" i="27"/>
  <c r="D113" i="27"/>
  <c r="C113" i="27"/>
  <c r="B113" i="27"/>
  <c r="F112" i="27"/>
  <c r="E112" i="27"/>
  <c r="D112" i="27"/>
  <c r="C112" i="27"/>
  <c r="B112" i="27"/>
  <c r="F111" i="27"/>
  <c r="E111" i="27"/>
  <c r="D111" i="27"/>
  <c r="C111" i="27"/>
  <c r="B111" i="27"/>
  <c r="F110" i="27"/>
  <c r="E110" i="27"/>
  <c r="D110" i="27"/>
  <c r="C110" i="27"/>
  <c r="B110" i="27"/>
  <c r="F109" i="27"/>
  <c r="E109" i="27"/>
  <c r="D109" i="27"/>
  <c r="C109" i="27"/>
  <c r="B109" i="27"/>
  <c r="F108" i="27"/>
  <c r="E108" i="27"/>
  <c r="D108" i="27"/>
  <c r="C108" i="27"/>
  <c r="B108" i="27"/>
  <c r="F107" i="27"/>
  <c r="E107" i="27"/>
  <c r="D107" i="27"/>
  <c r="C107" i="27"/>
  <c r="B107" i="27"/>
  <c r="F106" i="27"/>
  <c r="E106" i="27"/>
  <c r="D106" i="27"/>
  <c r="C106" i="27"/>
  <c r="B106" i="27"/>
  <c r="F105" i="27"/>
  <c r="E105" i="27"/>
  <c r="D105" i="27"/>
  <c r="C105" i="27"/>
  <c r="B105" i="27"/>
  <c r="F104" i="27"/>
  <c r="E104" i="27"/>
  <c r="D104" i="27"/>
  <c r="C104" i="27"/>
  <c r="B104" i="27"/>
  <c r="F103" i="27"/>
  <c r="E103" i="27"/>
  <c r="D103" i="27"/>
  <c r="C103" i="27"/>
  <c r="B103" i="27"/>
  <c r="F102" i="27"/>
  <c r="E102" i="27"/>
  <c r="D102" i="27"/>
  <c r="C102" i="27"/>
  <c r="B102" i="27"/>
  <c r="F101" i="27"/>
  <c r="E101" i="27"/>
  <c r="D101" i="27"/>
  <c r="C101" i="27"/>
  <c r="B101" i="27"/>
  <c r="F100" i="27"/>
  <c r="E100" i="27"/>
  <c r="D100" i="27"/>
  <c r="C100" i="27"/>
  <c r="B100" i="27"/>
  <c r="F99" i="27"/>
  <c r="E99" i="27"/>
  <c r="D99" i="27"/>
  <c r="C99" i="27"/>
  <c r="B99" i="27"/>
  <c r="F98" i="27"/>
  <c r="E98" i="27"/>
  <c r="D98" i="27"/>
  <c r="C98" i="27"/>
  <c r="B98" i="27"/>
  <c r="F97" i="27"/>
  <c r="E97" i="27"/>
  <c r="D97" i="27"/>
  <c r="C97" i="27"/>
  <c r="B97" i="27"/>
  <c r="F96" i="27"/>
  <c r="E96" i="27"/>
  <c r="D96" i="27"/>
  <c r="C96" i="27"/>
  <c r="B96" i="27"/>
  <c r="F95" i="27"/>
  <c r="E95" i="27"/>
  <c r="D95" i="27"/>
  <c r="C95" i="27"/>
  <c r="B95" i="27"/>
  <c r="F94" i="27"/>
  <c r="E94" i="27"/>
  <c r="D94" i="27"/>
  <c r="C94" i="27"/>
  <c r="B94" i="27"/>
  <c r="F93" i="27"/>
  <c r="E93" i="27"/>
  <c r="D93" i="27"/>
  <c r="C93" i="27"/>
  <c r="B93" i="27"/>
  <c r="F92" i="27"/>
  <c r="E92" i="27"/>
  <c r="D92" i="27"/>
  <c r="C92" i="27"/>
  <c r="B92" i="27"/>
  <c r="F91" i="27"/>
  <c r="E91" i="27"/>
  <c r="D91" i="27"/>
  <c r="C91" i="27"/>
  <c r="B91" i="27"/>
  <c r="F90" i="27"/>
  <c r="E90" i="27"/>
  <c r="D90" i="27"/>
  <c r="C90" i="27"/>
  <c r="B90" i="27"/>
  <c r="F89" i="27"/>
  <c r="E89" i="27"/>
  <c r="D89" i="27"/>
  <c r="C89" i="27"/>
  <c r="B89" i="27"/>
  <c r="F88" i="27"/>
  <c r="E88" i="27"/>
  <c r="D88" i="27"/>
  <c r="C88" i="27"/>
  <c r="B88" i="27"/>
  <c r="F87" i="27"/>
  <c r="E87" i="27"/>
  <c r="D87" i="27"/>
  <c r="C87" i="27"/>
  <c r="B87" i="27"/>
  <c r="F86" i="27"/>
  <c r="E86" i="27"/>
  <c r="D86" i="27"/>
  <c r="C86" i="27"/>
  <c r="B86" i="27"/>
  <c r="F85" i="27"/>
  <c r="E85" i="27"/>
  <c r="D85" i="27"/>
  <c r="C85" i="27"/>
  <c r="B85" i="27"/>
  <c r="F84" i="27"/>
  <c r="E84" i="27"/>
  <c r="D84" i="27"/>
  <c r="C84" i="27"/>
  <c r="B84" i="27"/>
  <c r="F83" i="27"/>
  <c r="E83" i="27"/>
  <c r="D83" i="27"/>
  <c r="C83" i="27"/>
  <c r="B83" i="27"/>
  <c r="F82" i="27"/>
  <c r="E82" i="27"/>
  <c r="D82" i="27"/>
  <c r="C82" i="27"/>
  <c r="B82" i="27"/>
  <c r="F81" i="27"/>
  <c r="E81" i="27"/>
  <c r="D81" i="27"/>
  <c r="C81" i="27"/>
  <c r="B81" i="27"/>
  <c r="F80" i="27"/>
  <c r="E80" i="27"/>
  <c r="D80" i="27"/>
  <c r="C80" i="27"/>
  <c r="B80" i="27"/>
  <c r="F79" i="27"/>
  <c r="E79" i="27"/>
  <c r="D79" i="27"/>
  <c r="C79" i="27"/>
  <c r="B79" i="27"/>
  <c r="F78" i="27"/>
  <c r="E78" i="27"/>
  <c r="D78" i="27"/>
  <c r="C78" i="27"/>
  <c r="B78" i="27"/>
  <c r="F77" i="27"/>
  <c r="E77" i="27"/>
  <c r="D77" i="27"/>
  <c r="C77" i="27"/>
  <c r="B77" i="27"/>
  <c r="F76" i="27"/>
  <c r="E76" i="27"/>
  <c r="D76" i="27"/>
  <c r="C76" i="27"/>
  <c r="B76" i="27"/>
  <c r="F75" i="27"/>
  <c r="E75" i="27"/>
  <c r="D75" i="27"/>
  <c r="C75" i="27"/>
  <c r="B75" i="27"/>
  <c r="F74" i="27"/>
  <c r="E74" i="27"/>
  <c r="D74" i="27"/>
  <c r="C74" i="27"/>
  <c r="B74" i="27"/>
  <c r="F73" i="27"/>
  <c r="E73" i="27"/>
  <c r="D73" i="27"/>
  <c r="C73" i="27"/>
  <c r="B73" i="27"/>
  <c r="F72" i="27"/>
  <c r="E72" i="27"/>
  <c r="D72" i="27"/>
  <c r="C72" i="27"/>
  <c r="B72" i="27"/>
  <c r="F71" i="27"/>
  <c r="E71" i="27"/>
  <c r="D71" i="27"/>
  <c r="C71" i="27"/>
  <c r="B71" i="27"/>
  <c r="F70" i="27"/>
  <c r="E70" i="27"/>
  <c r="D70" i="27"/>
  <c r="C70" i="27"/>
  <c r="B70" i="27"/>
  <c r="F69" i="27"/>
  <c r="E69" i="27"/>
  <c r="D69" i="27"/>
  <c r="C69" i="27"/>
  <c r="B69" i="27"/>
  <c r="F68" i="27"/>
  <c r="E68" i="27"/>
  <c r="D68" i="27"/>
  <c r="C68" i="27"/>
  <c r="B68" i="27"/>
  <c r="F67" i="27"/>
  <c r="E67" i="27"/>
  <c r="D67" i="27"/>
  <c r="C67" i="27"/>
  <c r="B67" i="27"/>
  <c r="F66" i="27"/>
  <c r="E66" i="27"/>
  <c r="D66" i="27"/>
  <c r="C66" i="27"/>
  <c r="B66" i="27"/>
  <c r="F65" i="27"/>
  <c r="E65" i="27"/>
  <c r="D65" i="27"/>
  <c r="C65" i="27"/>
  <c r="B65" i="27"/>
  <c r="F64" i="27"/>
  <c r="E64" i="27"/>
  <c r="D64" i="27"/>
  <c r="C64" i="27"/>
  <c r="B64" i="27"/>
  <c r="F63" i="27"/>
  <c r="E63" i="27"/>
  <c r="D63" i="27"/>
  <c r="C63" i="27"/>
  <c r="B63" i="27"/>
  <c r="F62" i="27"/>
  <c r="E62" i="27"/>
  <c r="D62" i="27"/>
  <c r="C62" i="27"/>
  <c r="B62" i="27"/>
  <c r="F61" i="27"/>
  <c r="E61" i="27"/>
  <c r="D61" i="27"/>
  <c r="C61" i="27"/>
  <c r="B61" i="27"/>
  <c r="F60" i="27"/>
  <c r="E60" i="27"/>
  <c r="D60" i="27"/>
  <c r="C60" i="27"/>
  <c r="B60" i="27"/>
  <c r="F59" i="27"/>
  <c r="E59" i="27"/>
  <c r="D59" i="27"/>
  <c r="C59" i="27"/>
  <c r="B59" i="27"/>
  <c r="F58" i="27"/>
  <c r="E58" i="27"/>
  <c r="D58" i="27"/>
  <c r="C58" i="27"/>
  <c r="B58" i="27"/>
  <c r="F57" i="27"/>
  <c r="E57" i="27"/>
  <c r="D57" i="27"/>
  <c r="C57" i="27"/>
  <c r="B57" i="27"/>
  <c r="F56" i="27"/>
  <c r="E56" i="27"/>
  <c r="D56" i="27"/>
  <c r="C56" i="27"/>
  <c r="B56" i="27"/>
  <c r="F55" i="27"/>
  <c r="E55" i="27"/>
  <c r="D55" i="27"/>
  <c r="C55" i="27"/>
  <c r="B55" i="27"/>
  <c r="F54" i="27"/>
  <c r="E54" i="27"/>
  <c r="D54" i="27"/>
  <c r="C54" i="27"/>
  <c r="B54" i="27"/>
  <c r="F53" i="27"/>
  <c r="E53" i="27"/>
  <c r="D53" i="27"/>
  <c r="C53" i="27"/>
  <c r="B53" i="27"/>
  <c r="F52" i="27"/>
  <c r="E52" i="27"/>
  <c r="D52" i="27"/>
  <c r="C52" i="27"/>
  <c r="B52" i="27"/>
  <c r="F51" i="27"/>
  <c r="E51" i="27"/>
  <c r="D51" i="27"/>
  <c r="C51" i="27"/>
  <c r="B51" i="27"/>
  <c r="F50" i="27"/>
  <c r="E50" i="27"/>
  <c r="D50" i="27"/>
  <c r="C50" i="27"/>
  <c r="B50" i="27"/>
  <c r="F49" i="27"/>
  <c r="E49" i="27"/>
  <c r="D49" i="27"/>
  <c r="C49" i="27"/>
  <c r="B49" i="27"/>
  <c r="F48" i="27"/>
  <c r="E48" i="27"/>
  <c r="D48" i="27"/>
  <c r="C48" i="27"/>
  <c r="B48" i="27"/>
  <c r="F47" i="27"/>
  <c r="E47" i="27"/>
  <c r="D47" i="27"/>
  <c r="C47" i="27"/>
  <c r="B47" i="27"/>
  <c r="F46" i="27"/>
  <c r="E46" i="27"/>
  <c r="D46" i="27"/>
  <c r="C46" i="27"/>
  <c r="B46" i="27"/>
  <c r="F45" i="27"/>
  <c r="E45" i="27"/>
  <c r="D45" i="27"/>
  <c r="C45" i="27"/>
  <c r="B45" i="27"/>
  <c r="F44" i="27"/>
  <c r="E44" i="27"/>
  <c r="D44" i="27"/>
  <c r="C44" i="27"/>
  <c r="B44" i="27"/>
  <c r="F43" i="27"/>
  <c r="E43" i="27"/>
  <c r="D43" i="27"/>
  <c r="C43" i="27"/>
  <c r="B43" i="27"/>
  <c r="F42" i="27"/>
  <c r="E42" i="27"/>
  <c r="D42" i="27"/>
  <c r="C42" i="27"/>
  <c r="B42" i="27"/>
  <c r="F41" i="27"/>
  <c r="E41" i="27"/>
  <c r="D41" i="27"/>
  <c r="C41" i="27"/>
  <c r="B41" i="27"/>
  <c r="F40" i="27"/>
  <c r="E40" i="27"/>
  <c r="D40" i="27"/>
  <c r="C40" i="27"/>
  <c r="B40" i="27"/>
  <c r="F39" i="27"/>
  <c r="E39" i="27"/>
  <c r="D39" i="27"/>
  <c r="C39" i="27"/>
  <c r="B39" i="27"/>
  <c r="F38" i="27"/>
  <c r="E38" i="27"/>
  <c r="D38" i="27"/>
  <c r="C38" i="27"/>
  <c r="B38" i="27"/>
  <c r="F37" i="27"/>
  <c r="E37" i="27"/>
  <c r="D37" i="27"/>
  <c r="C37" i="27"/>
  <c r="B37" i="27"/>
  <c r="F36" i="27"/>
  <c r="E36" i="27"/>
  <c r="D36" i="27"/>
  <c r="C36" i="27"/>
  <c r="B36" i="27"/>
  <c r="F35" i="27"/>
  <c r="E35" i="27"/>
  <c r="D35" i="27"/>
  <c r="C35" i="27"/>
  <c r="B35" i="27"/>
  <c r="F34" i="27"/>
  <c r="E34" i="27"/>
  <c r="D34" i="27"/>
  <c r="C34" i="27"/>
  <c r="B34" i="27"/>
  <c r="F33" i="27"/>
  <c r="E33" i="27"/>
  <c r="D33" i="27"/>
  <c r="C33" i="27"/>
  <c r="B33" i="27"/>
  <c r="F32" i="27"/>
  <c r="E32" i="27"/>
  <c r="D32" i="27"/>
  <c r="C32" i="27"/>
  <c r="B32" i="27"/>
  <c r="F31" i="27"/>
  <c r="E31" i="27"/>
  <c r="D31" i="27"/>
  <c r="C31" i="27"/>
  <c r="B31" i="27"/>
  <c r="F30" i="27"/>
  <c r="E30" i="27"/>
  <c r="D30" i="27"/>
  <c r="C30" i="27"/>
  <c r="B30" i="27"/>
  <c r="F29" i="27"/>
  <c r="E29" i="27"/>
  <c r="D29" i="27"/>
  <c r="C29" i="27"/>
  <c r="B29" i="27"/>
  <c r="F28" i="27"/>
  <c r="E28" i="27"/>
  <c r="D28" i="27"/>
  <c r="C28" i="27"/>
  <c r="B28" i="27"/>
  <c r="F27" i="27"/>
  <c r="E27" i="27"/>
  <c r="D27" i="27"/>
  <c r="C27" i="27"/>
  <c r="B27" i="27"/>
  <c r="F26" i="27"/>
  <c r="E26" i="27"/>
  <c r="D26" i="27"/>
  <c r="C26" i="27"/>
  <c r="B26" i="27"/>
  <c r="F25" i="27"/>
  <c r="E25" i="27"/>
  <c r="D25" i="27"/>
  <c r="C25" i="27"/>
  <c r="B25" i="27"/>
  <c r="F24" i="27"/>
  <c r="E24" i="27"/>
  <c r="D24" i="27"/>
  <c r="C24" i="27"/>
  <c r="B24" i="27"/>
  <c r="F23" i="27"/>
  <c r="E23" i="27"/>
  <c r="D23" i="27"/>
  <c r="C23" i="27"/>
  <c r="B23" i="27"/>
  <c r="F22" i="27"/>
  <c r="E22" i="27"/>
  <c r="D22" i="27"/>
  <c r="C22" i="27"/>
  <c r="B22" i="27"/>
  <c r="F21" i="27"/>
  <c r="E21" i="27"/>
  <c r="D21" i="27"/>
  <c r="C21" i="27"/>
  <c r="B21" i="27"/>
  <c r="F20" i="27"/>
  <c r="E20" i="27"/>
  <c r="D20" i="27"/>
  <c r="C20" i="27"/>
  <c r="B20" i="27"/>
  <c r="F19" i="27"/>
  <c r="E19" i="27"/>
  <c r="D19" i="27"/>
  <c r="C19" i="27"/>
  <c r="B19" i="27"/>
  <c r="F18" i="27"/>
  <c r="E18" i="27"/>
  <c r="D18" i="27"/>
  <c r="C18" i="27"/>
  <c r="B18" i="27"/>
  <c r="F17" i="27"/>
  <c r="E17" i="27"/>
  <c r="D17" i="27"/>
  <c r="C17" i="27"/>
  <c r="B17" i="27"/>
  <c r="F16" i="27"/>
  <c r="E16" i="27"/>
  <c r="D16" i="27"/>
  <c r="C16" i="27"/>
  <c r="B16" i="27"/>
  <c r="F15" i="27"/>
  <c r="E15" i="27"/>
  <c r="D15" i="27"/>
  <c r="C15" i="27"/>
  <c r="B15" i="27"/>
  <c r="A15" i="27"/>
  <c r="F14" i="27"/>
  <c r="E14" i="27"/>
  <c r="D14" i="27"/>
  <c r="C14" i="27"/>
  <c r="B14" i="27"/>
  <c r="F13" i="27"/>
  <c r="E13" i="27"/>
  <c r="D13" i="27"/>
  <c r="C13" i="27"/>
  <c r="B13" i="27"/>
  <c r="F12" i="27"/>
  <c r="E12" i="27"/>
  <c r="D12" i="27"/>
  <c r="C12" i="27"/>
  <c r="B12" i="27"/>
  <c r="F11" i="27"/>
  <c r="E11" i="27"/>
  <c r="D11" i="27"/>
  <c r="C11" i="27"/>
  <c r="B11" i="27"/>
  <c r="F10" i="27"/>
  <c r="E10" i="27"/>
  <c r="D10" i="27"/>
  <c r="C10" i="27"/>
  <c r="B10" i="27"/>
  <c r="F9" i="27"/>
  <c r="E9" i="27"/>
  <c r="D9" i="27"/>
  <c r="C9" i="27"/>
  <c r="B9" i="27"/>
  <c r="F8" i="27"/>
  <c r="E8" i="27"/>
  <c r="D8" i="27"/>
  <c r="C8" i="27"/>
  <c r="B8" i="27"/>
  <c r="F7" i="27"/>
  <c r="E7" i="27"/>
  <c r="D7" i="27"/>
  <c r="C7" i="27"/>
  <c r="B7" i="27"/>
  <c r="F6" i="27"/>
  <c r="E6" i="27"/>
  <c r="D6" i="27"/>
  <c r="C6" i="27"/>
  <c r="B6" i="27"/>
  <c r="F5" i="27"/>
  <c r="E5" i="27"/>
  <c r="D5" i="27"/>
  <c r="C5" i="27"/>
  <c r="B5" i="27"/>
  <c r="F4" i="27"/>
  <c r="E4" i="27"/>
  <c r="D4" i="27"/>
  <c r="C4" i="27"/>
  <c r="B4" i="27"/>
  <c r="F3" i="27"/>
  <c r="E3" i="27"/>
  <c r="D3" i="27"/>
  <c r="C3" i="27"/>
  <c r="B3" i="27"/>
  <c r="F2" i="27"/>
  <c r="E2" i="27"/>
  <c r="D2" i="27"/>
  <c r="C2" i="27"/>
  <c r="B2" i="27"/>
  <c r="Q15" i="26"/>
  <c r="Q14" i="26"/>
  <c r="Q13" i="26"/>
  <c r="Q12" i="26"/>
  <c r="Q11" i="26"/>
  <c r="Q10" i="26"/>
  <c r="Q9" i="26"/>
  <c r="Q8" i="26"/>
  <c r="Q7" i="26"/>
  <c r="Q6" i="26"/>
  <c r="Q5" i="26"/>
  <c r="Q4" i="26"/>
  <c r="Q3" i="26"/>
  <c r="P8" i="25"/>
  <c r="Q5" i="25"/>
  <c r="Q4" i="25"/>
  <c r="Q3" i="25"/>
  <c r="P7" i="24"/>
  <c r="Q5" i="24"/>
  <c r="Q4" i="24"/>
  <c r="Q3" i="24"/>
  <c r="A688" i="15"/>
  <c r="B688" i="15"/>
  <c r="C688" i="15"/>
  <c r="D688" i="15"/>
  <c r="E688" i="15"/>
  <c r="F688" i="15"/>
  <c r="G688" i="15"/>
  <c r="A689" i="15"/>
  <c r="B689" i="15"/>
  <c r="C689" i="15"/>
  <c r="D689" i="15"/>
  <c r="E689" i="15"/>
  <c r="F689" i="15"/>
  <c r="G689" i="15"/>
  <c r="A690" i="15"/>
  <c r="B690" i="15"/>
  <c r="C690" i="15"/>
  <c r="D690" i="15"/>
  <c r="E690" i="15"/>
  <c r="F690" i="15"/>
  <c r="G690" i="15"/>
  <c r="A691" i="15"/>
  <c r="B691" i="15"/>
  <c r="C691" i="15"/>
  <c r="D691" i="15"/>
  <c r="E691" i="15"/>
  <c r="F691" i="15"/>
  <c r="G691" i="15"/>
  <c r="A692" i="15"/>
  <c r="B692" i="15"/>
  <c r="C692" i="15"/>
  <c r="D692" i="15"/>
  <c r="E692" i="15"/>
  <c r="F692" i="15"/>
  <c r="G692" i="15"/>
  <c r="A693" i="15"/>
  <c r="B693" i="15"/>
  <c r="C693" i="15"/>
  <c r="D693" i="15"/>
  <c r="E693" i="15"/>
  <c r="F693" i="15"/>
  <c r="G693" i="15"/>
  <c r="A694" i="15"/>
  <c r="B694" i="15"/>
  <c r="C694" i="15"/>
  <c r="D694" i="15"/>
  <c r="E694" i="15"/>
  <c r="F694" i="15"/>
  <c r="G694" i="15"/>
  <c r="A695" i="15"/>
  <c r="B695" i="15"/>
  <c r="C695" i="15"/>
  <c r="D695" i="15"/>
  <c r="E695" i="15"/>
  <c r="F695" i="15"/>
  <c r="G695" i="15"/>
  <c r="A696" i="15"/>
  <c r="B696" i="15"/>
  <c r="C696" i="15"/>
  <c r="D696" i="15"/>
  <c r="E696" i="15"/>
  <c r="F696" i="15"/>
  <c r="G696" i="15"/>
  <c r="A697" i="15"/>
  <c r="B697" i="15"/>
  <c r="C697" i="15"/>
  <c r="D697" i="15"/>
  <c r="E697" i="15"/>
  <c r="F697" i="15"/>
  <c r="G697" i="15"/>
  <c r="A698" i="15"/>
  <c r="B698" i="15"/>
  <c r="C698" i="15"/>
  <c r="D698" i="15"/>
  <c r="E698" i="15"/>
  <c r="F698" i="15"/>
  <c r="G698" i="15"/>
  <c r="A699" i="15"/>
  <c r="B699" i="15"/>
  <c r="C699" i="15"/>
  <c r="D699" i="15"/>
  <c r="E699" i="15"/>
  <c r="F699" i="15"/>
  <c r="G699" i="15"/>
  <c r="A700" i="15"/>
  <c r="B700" i="15"/>
  <c r="C700" i="15"/>
  <c r="D700" i="15"/>
  <c r="E700" i="15"/>
  <c r="F700" i="15"/>
  <c r="G700" i="15"/>
  <c r="A701" i="15"/>
  <c r="B701" i="15"/>
  <c r="C701" i="15"/>
  <c r="D701" i="15"/>
  <c r="E701" i="15"/>
  <c r="F701" i="15"/>
  <c r="G701" i="15"/>
  <c r="A702" i="15"/>
  <c r="B702" i="15"/>
  <c r="C702" i="15"/>
  <c r="D702" i="15"/>
  <c r="E702" i="15"/>
  <c r="F702" i="15"/>
  <c r="G702" i="15"/>
  <c r="A703" i="15"/>
  <c r="B703" i="15"/>
  <c r="C703" i="15"/>
  <c r="D703" i="15"/>
  <c r="E703" i="15"/>
  <c r="F703" i="15"/>
  <c r="G703" i="15"/>
  <c r="A704" i="15"/>
  <c r="B704" i="15"/>
  <c r="C704" i="15"/>
  <c r="D704" i="15"/>
  <c r="E704" i="15"/>
  <c r="F704" i="15"/>
  <c r="G704" i="15"/>
  <c r="A705" i="15"/>
  <c r="B705" i="15"/>
  <c r="C705" i="15"/>
  <c r="D705" i="15"/>
  <c r="E705" i="15"/>
  <c r="F705" i="15"/>
  <c r="G705" i="15"/>
  <c r="A706" i="15"/>
  <c r="B706" i="15"/>
  <c r="C706" i="15"/>
  <c r="D706" i="15"/>
  <c r="E706" i="15"/>
  <c r="F706" i="15"/>
  <c r="G706" i="15"/>
  <c r="A707" i="15"/>
  <c r="B707" i="15"/>
  <c r="C707" i="15"/>
  <c r="D707" i="15"/>
  <c r="E707" i="15"/>
  <c r="F707" i="15"/>
  <c r="G707" i="15"/>
  <c r="A708" i="15"/>
  <c r="B708" i="15"/>
  <c r="C708" i="15"/>
  <c r="D708" i="15"/>
  <c r="E708" i="15"/>
  <c r="F708" i="15"/>
  <c r="G708" i="15"/>
  <c r="A709" i="15"/>
  <c r="B709" i="15"/>
  <c r="C709" i="15"/>
  <c r="D709" i="15"/>
  <c r="E709" i="15"/>
  <c r="F709" i="15"/>
  <c r="G709" i="15"/>
  <c r="A710" i="15"/>
  <c r="B710" i="15"/>
  <c r="C710" i="15"/>
  <c r="D710" i="15"/>
  <c r="E710" i="15"/>
  <c r="F710" i="15"/>
  <c r="G710" i="15"/>
  <c r="A711" i="15"/>
  <c r="B711" i="15"/>
  <c r="C711" i="15"/>
  <c r="D711" i="15"/>
  <c r="E711" i="15"/>
  <c r="F711" i="15"/>
  <c r="G711" i="15"/>
  <c r="A712" i="15"/>
  <c r="B712" i="15"/>
  <c r="C712" i="15"/>
  <c r="D712" i="15"/>
  <c r="E712" i="15"/>
  <c r="F712" i="15"/>
  <c r="G712" i="15"/>
  <c r="A713" i="15"/>
  <c r="B713" i="15"/>
  <c r="C713" i="15"/>
  <c r="D713" i="15"/>
  <c r="E713" i="15"/>
  <c r="F713" i="15"/>
  <c r="G713" i="15"/>
  <c r="A714" i="15"/>
  <c r="B714" i="15"/>
  <c r="C714" i="15"/>
  <c r="D714" i="15"/>
  <c r="E714" i="15"/>
  <c r="F714" i="15"/>
  <c r="G714" i="15"/>
  <c r="A715" i="15"/>
  <c r="B715" i="15"/>
  <c r="C715" i="15"/>
  <c r="D715" i="15"/>
  <c r="E715" i="15"/>
  <c r="F715" i="15"/>
  <c r="G715" i="15"/>
  <c r="A716" i="15"/>
  <c r="B716" i="15"/>
  <c r="C716" i="15"/>
  <c r="D716" i="15"/>
  <c r="E716" i="15"/>
  <c r="F716" i="15"/>
  <c r="G716" i="15"/>
  <c r="A717" i="15"/>
  <c r="B717" i="15"/>
  <c r="C717" i="15"/>
  <c r="D717" i="15"/>
  <c r="E717" i="15"/>
  <c r="F717" i="15"/>
  <c r="G717" i="15"/>
  <c r="A718" i="15"/>
  <c r="B718" i="15"/>
  <c r="C718" i="15"/>
  <c r="D718" i="15"/>
  <c r="E718" i="15"/>
  <c r="F718" i="15"/>
  <c r="G718" i="15"/>
  <c r="A719" i="15"/>
  <c r="B719" i="15"/>
  <c r="C719" i="15"/>
  <c r="D719" i="15"/>
  <c r="E719" i="15"/>
  <c r="F719" i="15"/>
  <c r="G719" i="15"/>
  <c r="A720" i="15"/>
  <c r="B720" i="15"/>
  <c r="C720" i="15"/>
  <c r="D720" i="15"/>
  <c r="E720" i="15"/>
  <c r="F720" i="15"/>
  <c r="G720" i="15"/>
  <c r="A721" i="15"/>
  <c r="B721" i="15"/>
  <c r="C721" i="15"/>
  <c r="D721" i="15"/>
  <c r="E721" i="15"/>
  <c r="F721" i="15"/>
  <c r="G721" i="15"/>
  <c r="A722" i="15"/>
  <c r="B722" i="15"/>
  <c r="C722" i="15"/>
  <c r="D722" i="15"/>
  <c r="E722" i="15"/>
  <c r="F722" i="15"/>
  <c r="G722" i="15"/>
  <c r="A723" i="15"/>
  <c r="B723" i="15"/>
  <c r="C723" i="15"/>
  <c r="D723" i="15"/>
  <c r="E723" i="15"/>
  <c r="F723" i="15"/>
  <c r="G723" i="15"/>
  <c r="A724" i="15"/>
  <c r="B724" i="15"/>
  <c r="C724" i="15"/>
  <c r="D724" i="15"/>
  <c r="E724" i="15"/>
  <c r="F724" i="15"/>
  <c r="G724" i="15"/>
  <c r="A725" i="15"/>
  <c r="B725" i="15"/>
  <c r="C725" i="15"/>
  <c r="D725" i="15"/>
  <c r="E725" i="15"/>
  <c r="F725" i="15"/>
  <c r="G725" i="15"/>
  <c r="A726" i="15"/>
  <c r="B726" i="15"/>
  <c r="C726" i="15"/>
  <c r="D726" i="15"/>
  <c r="E726" i="15"/>
  <c r="F726" i="15"/>
  <c r="G726" i="15"/>
  <c r="A727" i="15"/>
  <c r="B727" i="15"/>
  <c r="C727" i="15"/>
  <c r="D727" i="15"/>
  <c r="E727" i="15"/>
  <c r="F727" i="15"/>
  <c r="G727" i="15"/>
  <c r="A728" i="15"/>
  <c r="B728" i="15"/>
  <c r="C728" i="15"/>
  <c r="D728" i="15"/>
  <c r="E728" i="15"/>
  <c r="F728" i="15"/>
  <c r="G728" i="15"/>
  <c r="A729" i="15"/>
  <c r="B729" i="15"/>
  <c r="C729" i="15"/>
  <c r="D729" i="15"/>
  <c r="E729" i="15"/>
  <c r="F729" i="15"/>
  <c r="G729" i="15"/>
  <c r="A730" i="15"/>
  <c r="B730" i="15"/>
  <c r="C730" i="15"/>
  <c r="D730" i="15"/>
  <c r="E730" i="15"/>
  <c r="F730" i="15"/>
  <c r="G730" i="15"/>
  <c r="A731" i="15"/>
  <c r="B731" i="15"/>
  <c r="C731" i="15"/>
  <c r="D731" i="15"/>
  <c r="E731" i="15"/>
  <c r="F731" i="15"/>
  <c r="G731" i="15"/>
  <c r="A732" i="15"/>
  <c r="B732" i="15"/>
  <c r="C732" i="15"/>
  <c r="D732" i="15"/>
  <c r="E732" i="15"/>
  <c r="F732" i="15"/>
  <c r="G732" i="15"/>
  <c r="A733" i="15"/>
  <c r="B733" i="15"/>
  <c r="C733" i="15"/>
  <c r="D733" i="15"/>
  <c r="E733" i="15"/>
  <c r="F733" i="15"/>
  <c r="G733" i="15"/>
  <c r="A734" i="15"/>
  <c r="B734" i="15"/>
  <c r="C734" i="15"/>
  <c r="D734" i="15"/>
  <c r="E734" i="15"/>
  <c r="F734" i="15"/>
  <c r="G734" i="15"/>
  <c r="A735" i="15"/>
  <c r="B735" i="15"/>
  <c r="C735" i="15"/>
  <c r="D735" i="15"/>
  <c r="E735" i="15"/>
  <c r="F735" i="15"/>
  <c r="G735" i="15"/>
  <c r="A736" i="15"/>
  <c r="B736" i="15"/>
  <c r="C736" i="15"/>
  <c r="D736" i="15"/>
  <c r="E736" i="15"/>
  <c r="F736" i="15"/>
  <c r="G736" i="15"/>
  <c r="A737" i="15"/>
  <c r="B737" i="15"/>
  <c r="C737" i="15"/>
  <c r="D737" i="15"/>
  <c r="E737" i="15"/>
  <c r="F737" i="15"/>
  <c r="G737" i="15"/>
  <c r="A738" i="15"/>
  <c r="B738" i="15"/>
  <c r="C738" i="15"/>
  <c r="D738" i="15"/>
  <c r="E738" i="15"/>
  <c r="F738" i="15"/>
  <c r="G738" i="15"/>
  <c r="A739" i="15"/>
  <c r="B739" i="15"/>
  <c r="C739" i="15"/>
  <c r="D739" i="15"/>
  <c r="E739" i="15"/>
  <c r="F739" i="15"/>
  <c r="G739" i="15"/>
  <c r="A740" i="15"/>
  <c r="B740" i="15"/>
  <c r="C740" i="15"/>
  <c r="D740" i="15"/>
  <c r="E740" i="15"/>
  <c r="F740" i="15"/>
  <c r="G740" i="15"/>
  <c r="A741" i="15"/>
  <c r="B741" i="15"/>
  <c r="C741" i="15"/>
  <c r="D741" i="15"/>
  <c r="E741" i="15"/>
  <c r="F741" i="15"/>
  <c r="G741" i="15"/>
  <c r="A742" i="15"/>
  <c r="B742" i="15"/>
  <c r="C742" i="15"/>
  <c r="D742" i="15"/>
  <c r="E742" i="15"/>
  <c r="F742" i="15"/>
  <c r="G742" i="15"/>
  <c r="A743" i="15"/>
  <c r="B743" i="15"/>
  <c r="C743" i="15"/>
  <c r="D743" i="15"/>
  <c r="E743" i="15"/>
  <c r="F743" i="15"/>
  <c r="G743" i="15"/>
  <c r="A744" i="15"/>
  <c r="B744" i="15"/>
  <c r="C744" i="15"/>
  <c r="D744" i="15"/>
  <c r="E744" i="15"/>
  <c r="F744" i="15"/>
  <c r="G744" i="15"/>
  <c r="A745" i="15"/>
  <c r="B745" i="15"/>
  <c r="C745" i="15"/>
  <c r="D745" i="15"/>
  <c r="E745" i="15"/>
  <c r="F745" i="15"/>
  <c r="G745" i="15"/>
  <c r="A746" i="15"/>
  <c r="B746" i="15"/>
  <c r="C746" i="15"/>
  <c r="D746" i="15"/>
  <c r="E746" i="15"/>
  <c r="F746" i="15"/>
  <c r="G746" i="15"/>
  <c r="A747" i="15"/>
  <c r="B747" i="15"/>
  <c r="C747" i="15"/>
  <c r="D747" i="15"/>
  <c r="E747" i="15"/>
  <c r="F747" i="15"/>
  <c r="G747" i="15"/>
  <c r="A748" i="15"/>
  <c r="B748" i="15"/>
  <c r="C748" i="15"/>
  <c r="D748" i="15"/>
  <c r="E748" i="15"/>
  <c r="F748" i="15"/>
  <c r="G748" i="15"/>
  <c r="A749" i="15"/>
  <c r="B749" i="15"/>
  <c r="C749" i="15"/>
  <c r="D749" i="15"/>
  <c r="E749" i="15"/>
  <c r="F749" i="15"/>
  <c r="G749" i="15"/>
  <c r="A750" i="15"/>
  <c r="B750" i="15"/>
  <c r="C750" i="15"/>
  <c r="D750" i="15"/>
  <c r="E750" i="15"/>
  <c r="F750" i="15"/>
  <c r="G750" i="15"/>
  <c r="A751" i="15"/>
  <c r="B751" i="15"/>
  <c r="C751" i="15"/>
  <c r="D751" i="15"/>
  <c r="E751" i="15"/>
  <c r="F751" i="15"/>
  <c r="G751" i="15"/>
  <c r="A752" i="15"/>
  <c r="B752" i="15"/>
  <c r="C752" i="15"/>
  <c r="D752" i="15"/>
  <c r="E752" i="15"/>
  <c r="F752" i="15"/>
  <c r="G752" i="15"/>
  <c r="A753" i="15"/>
  <c r="B753" i="15"/>
  <c r="C753" i="15"/>
  <c r="D753" i="15"/>
  <c r="E753" i="15"/>
  <c r="F753" i="15"/>
  <c r="G753" i="15"/>
  <c r="A754" i="15"/>
  <c r="B754" i="15"/>
  <c r="C754" i="15"/>
  <c r="D754" i="15"/>
  <c r="E754" i="15"/>
  <c r="F754" i="15"/>
  <c r="G754" i="15"/>
  <c r="A755" i="15"/>
  <c r="B755" i="15"/>
  <c r="C755" i="15"/>
  <c r="D755" i="15"/>
  <c r="E755" i="15"/>
  <c r="F755" i="15"/>
  <c r="G755" i="15"/>
  <c r="A756" i="15"/>
  <c r="B756" i="15"/>
  <c r="C756" i="15"/>
  <c r="D756" i="15"/>
  <c r="E756" i="15"/>
  <c r="F756" i="15"/>
  <c r="G756" i="15"/>
  <c r="A757" i="15"/>
  <c r="B757" i="15"/>
  <c r="C757" i="15"/>
  <c r="D757" i="15"/>
  <c r="E757" i="15"/>
  <c r="F757" i="15"/>
  <c r="G757" i="15"/>
  <c r="A758" i="15"/>
  <c r="B758" i="15"/>
  <c r="C758" i="15"/>
  <c r="D758" i="15"/>
  <c r="E758" i="15"/>
  <c r="F758" i="15"/>
  <c r="G758" i="15"/>
  <c r="A759" i="15"/>
  <c r="B759" i="15"/>
  <c r="C759" i="15"/>
  <c r="D759" i="15"/>
  <c r="E759" i="15"/>
  <c r="F759" i="15"/>
  <c r="G759" i="15"/>
  <c r="A760" i="15"/>
  <c r="B760" i="15"/>
  <c r="C760" i="15"/>
  <c r="D760" i="15"/>
  <c r="E760" i="15"/>
  <c r="F760" i="15"/>
  <c r="G760" i="15"/>
  <c r="A761" i="15"/>
  <c r="B761" i="15"/>
  <c r="C761" i="15"/>
  <c r="D761" i="15"/>
  <c r="E761" i="15"/>
  <c r="F761" i="15"/>
  <c r="G761" i="15"/>
  <c r="A762" i="15"/>
  <c r="B762" i="15"/>
  <c r="C762" i="15"/>
  <c r="D762" i="15"/>
  <c r="E762" i="15"/>
  <c r="F762" i="15"/>
  <c r="G762" i="15"/>
  <c r="A763" i="15"/>
  <c r="B763" i="15"/>
  <c r="C763" i="15"/>
  <c r="D763" i="15"/>
  <c r="E763" i="15"/>
  <c r="F763" i="15"/>
  <c r="G763" i="15"/>
  <c r="A764" i="15"/>
  <c r="B764" i="15"/>
  <c r="C764" i="15"/>
  <c r="D764" i="15"/>
  <c r="E764" i="15"/>
  <c r="F764" i="15"/>
  <c r="G764" i="15"/>
  <c r="Q636" i="1"/>
  <c r="E624" i="15" s="1"/>
  <c r="P375" i="1"/>
  <c r="P374" i="1"/>
  <c r="P373" i="1"/>
  <c r="P372" i="1"/>
  <c r="P371" i="1"/>
  <c r="P370" i="1"/>
  <c r="P369" i="1"/>
  <c r="P368" i="1"/>
  <c r="P367" i="1"/>
  <c r="P366" i="1"/>
  <c r="P365" i="1"/>
  <c r="P364" i="1"/>
  <c r="P363" i="1"/>
  <c r="P362" i="1"/>
  <c r="P361" i="1"/>
  <c r="Q15" i="1"/>
  <c r="P632" i="1" l="1"/>
  <c r="P636" i="1" s="1"/>
  <c r="Q638" i="1"/>
  <c r="E626" i="15" s="1"/>
  <c r="Q639" i="1"/>
  <c r="E627" i="15" s="1"/>
  <c r="Q267" i="20" l="1"/>
  <c r="B765" i="15" l="1"/>
  <c r="C765" i="15"/>
  <c r="D765" i="15"/>
  <c r="E765" i="15"/>
  <c r="F765" i="15"/>
  <c r="G765" i="15"/>
  <c r="B766" i="15"/>
  <c r="C766" i="15"/>
  <c r="D766" i="15"/>
  <c r="E766" i="15"/>
  <c r="F766" i="15"/>
  <c r="G766" i="15"/>
  <c r="B767" i="15"/>
  <c r="C767" i="15"/>
  <c r="D767" i="15"/>
  <c r="E767" i="15"/>
  <c r="F767" i="15"/>
  <c r="G767" i="15"/>
  <c r="B768" i="15"/>
  <c r="C768" i="15"/>
  <c r="D768" i="15"/>
  <c r="E768" i="15"/>
  <c r="F768" i="15"/>
  <c r="G768" i="15"/>
  <c r="G2" i="15"/>
  <c r="F2" i="15"/>
  <c r="D2" i="15"/>
  <c r="C2" i="15"/>
  <c r="B2" i="15"/>
  <c r="A2" i="15"/>
  <c r="Q644" i="1" l="1"/>
  <c r="E632" i="15" s="1"/>
  <c r="P640" i="1"/>
  <c r="P644" i="1" s="1"/>
  <c r="E2" i="15"/>
</calcChain>
</file>

<file path=xl/sharedStrings.xml><?xml version="1.0" encoding="utf-8"?>
<sst xmlns="http://schemas.openxmlformats.org/spreadsheetml/2006/main" count="9426" uniqueCount="1838">
  <si>
    <t>Type</t>
  </si>
  <si>
    <t>Réf. Modèle</t>
  </si>
  <si>
    <t>Réf. Documentaire</t>
  </si>
  <si>
    <t>Version</t>
  </si>
  <si>
    <t>Appliqué(e) le</t>
  </si>
  <si>
    <t>Description de la dernière évolution :</t>
  </si>
  <si>
    <t>Nom(s) et fonction(s)</t>
  </si>
  <si>
    <t>Date</t>
  </si>
  <si>
    <t xml:space="preserve">Pôle B2P CHU de Rouen
N° accréditation 8-3081 </t>
  </si>
  <si>
    <t>Liste détaillée des examens accrédités</t>
  </si>
  <si>
    <t xml:space="preserve">Lieu de réalisation des opérations techniques (site) </t>
  </si>
  <si>
    <t>Service</t>
  </si>
  <si>
    <t>Domaine</t>
  </si>
  <si>
    <t>Sous-Famille</t>
  </si>
  <si>
    <t>Examen / analyse</t>
  </si>
  <si>
    <t>Nature de l'échantillon 
biologique (sang et dérivés, urine, selles, …)</t>
  </si>
  <si>
    <t>Référence de la méthode 
(référence du document et version)</t>
  </si>
  <si>
    <t xml:space="preserve">Remarque *(ajout,
changement automate, 
changement de méthode, changement de réactif,…) </t>
  </si>
  <si>
    <t>Lignes de portée</t>
  </si>
  <si>
    <t>Portée A/B</t>
  </si>
  <si>
    <t>HOPITAL CHARLES NICOLLE CHU ROUEN</t>
  </si>
  <si>
    <t>Biochimie Générale</t>
  </si>
  <si>
    <t>Biologie Médicale</t>
  </si>
  <si>
    <t>Biochimie générale et spécialisée (BIOCHBM)</t>
  </si>
  <si>
    <t>Créatine kinase</t>
  </si>
  <si>
    <t>Sang</t>
  </si>
  <si>
    <t>Cinétique enzymatique standardisée IFCC</t>
  </si>
  <si>
    <t>Quantitatif</t>
  </si>
  <si>
    <t>Automatisée</t>
  </si>
  <si>
    <t>10608 v4</t>
  </si>
  <si>
    <t>BM BB01</t>
  </si>
  <si>
    <t>A</t>
  </si>
  <si>
    <t>Potassium</t>
  </si>
  <si>
    <t>Potentiométrie indirecte</t>
  </si>
  <si>
    <t>10674 v6</t>
  </si>
  <si>
    <t>Troponine T</t>
  </si>
  <si>
    <t>Electrochimiluminescence</t>
  </si>
  <si>
    <t>10673 v6</t>
  </si>
  <si>
    <t>Phosphatases alcalines</t>
  </si>
  <si>
    <t xml:space="preserve">Colorimétrie enzymatique </t>
  </si>
  <si>
    <t>14978 v004</t>
  </si>
  <si>
    <t>Magnésium</t>
  </si>
  <si>
    <t xml:space="preserve">Colorimétrie </t>
  </si>
  <si>
    <t>15040 v005</t>
  </si>
  <si>
    <t>Chlore</t>
  </si>
  <si>
    <t>15038 v006</t>
  </si>
  <si>
    <t>Lipase</t>
  </si>
  <si>
    <t>Colorimétrie enzymatique</t>
  </si>
  <si>
    <t>15039 v008</t>
  </si>
  <si>
    <t>Calcium</t>
  </si>
  <si>
    <t>Colorimétrie</t>
  </si>
  <si>
    <t>15026 v005</t>
  </si>
  <si>
    <t>Urée</t>
  </si>
  <si>
    <t>Méthode enzymatique (Uréase)</t>
  </si>
  <si>
    <t>15075 v006</t>
  </si>
  <si>
    <t>Thyréostimuline</t>
  </si>
  <si>
    <t>15073 v003</t>
  </si>
  <si>
    <t>Sodium</t>
  </si>
  <si>
    <t>15067 v006</t>
  </si>
  <si>
    <t>Protides</t>
  </si>
  <si>
    <t>Colorimétrique (Biuret)</t>
  </si>
  <si>
    <t>15030 v007</t>
  </si>
  <si>
    <t>NT-ProBNP</t>
  </si>
  <si>
    <t>15008 v005</t>
  </si>
  <si>
    <t>Gamma GT</t>
  </si>
  <si>
    <t xml:space="preserve">Colorimétrie  </t>
  </si>
  <si>
    <t>15013 v005</t>
  </si>
  <si>
    <t>Lactate</t>
  </si>
  <si>
    <t>16866 v5</t>
  </si>
  <si>
    <t>Biologie médicale</t>
  </si>
  <si>
    <t>Ferritine sérique</t>
  </si>
  <si>
    <t>25084 v1</t>
  </si>
  <si>
    <t>CRP Plasmatique</t>
  </si>
  <si>
    <t>Immunoturbidimétrie</t>
  </si>
  <si>
    <t>25052 v3</t>
  </si>
  <si>
    <t>Cholesterol sérique</t>
  </si>
  <si>
    <t>23479 v3</t>
  </si>
  <si>
    <t>HDL cholesterol sérique</t>
  </si>
  <si>
    <t>Triglycérides sériques</t>
  </si>
  <si>
    <t>22877 v2</t>
  </si>
  <si>
    <t>ALAT plasmatique</t>
  </si>
  <si>
    <t>23343 v4</t>
  </si>
  <si>
    <t>ASAT</t>
  </si>
  <si>
    <t>23507 v4</t>
  </si>
  <si>
    <t>Bilirubine totale plasmatique</t>
  </si>
  <si>
    <t>22584 v4</t>
  </si>
  <si>
    <t>Bilirubine conjuguée plasmatique</t>
  </si>
  <si>
    <t>HCG sérique</t>
  </si>
  <si>
    <t>23940 v6</t>
  </si>
  <si>
    <t>Créatinine plasmatique</t>
  </si>
  <si>
    <t>Colorimétrie ou colorimétrie enzymatique</t>
  </si>
  <si>
    <t>24671 v3</t>
  </si>
  <si>
    <t>DFG : MDRD et CKD-EPI</t>
  </si>
  <si>
    <t>Calcul</t>
  </si>
  <si>
    <t>NA</t>
  </si>
  <si>
    <t>0 (Calcul)</t>
  </si>
  <si>
    <t>Clairance à la créatinine (Cockroft)</t>
  </si>
  <si>
    <t>Bicarbonates plasmatiques</t>
  </si>
  <si>
    <t>Méthode enzymatique (PEPCK)</t>
  </si>
  <si>
    <t>26347 v1</t>
  </si>
  <si>
    <t>Acide urique plasmatique</t>
  </si>
  <si>
    <t>26271 v2</t>
  </si>
  <si>
    <t>Phosphore plasmatique</t>
  </si>
  <si>
    <t>Spectrophotométrie UV (Molybdate d'ammonium)</t>
  </si>
  <si>
    <t>26256 v3</t>
  </si>
  <si>
    <t>Glucose plasmatique</t>
  </si>
  <si>
    <t>Enzymatique</t>
  </si>
  <si>
    <t>26931 v3</t>
  </si>
  <si>
    <t>pH (Gaz du sang)</t>
  </si>
  <si>
    <t>Potentiométrie directe</t>
  </si>
  <si>
    <t>39150 v1
39370 v1
39494 v1
39889 v1</t>
  </si>
  <si>
    <t>pO2 (Gaz du sang)</t>
  </si>
  <si>
    <t>voir PH</t>
  </si>
  <si>
    <t>pCO2 (Gaz du sang)</t>
  </si>
  <si>
    <t>Hémogobine Totale (Gaz du sang)</t>
  </si>
  <si>
    <t>Absorbance optique</t>
  </si>
  <si>
    <t>voir PH (gaz du sang)</t>
  </si>
  <si>
    <t>Carboxyhémoglobine (Gaz du sang)</t>
  </si>
  <si>
    <t>Oxyhémoglobine (Gaz du sang)</t>
  </si>
  <si>
    <t>Méthémoglobine (Gaz du sang)</t>
  </si>
  <si>
    <t>Hématologie</t>
  </si>
  <si>
    <t>Hémostase (COAGBM)</t>
  </si>
  <si>
    <t>Temps de Quick</t>
  </si>
  <si>
    <t>Plasma</t>
  </si>
  <si>
    <t>Chronométrique</t>
  </si>
  <si>
    <t>BM CB02</t>
  </si>
  <si>
    <t>Temps de céphaline + activateur</t>
  </si>
  <si>
    <t>Chronométrie</t>
  </si>
  <si>
    <t>Fibrinogène</t>
  </si>
  <si>
    <t>D-Dimères, exclusion de thrombose</t>
  </si>
  <si>
    <t>Immunoenzymatique (ELFA)</t>
  </si>
  <si>
    <t>Hématocytologie (HEMATOBM)</t>
  </si>
  <si>
    <t>Volume moyen plaquettaire</t>
  </si>
  <si>
    <t>Impédance en cytométrie à volume fixe calibré (référence : cellule de Malassez)</t>
  </si>
  <si>
    <t>SYSMEX XN10</t>
  </si>
  <si>
    <t>BM HB01</t>
  </si>
  <si>
    <t>Volume globulaire moyen</t>
  </si>
  <si>
    <t>Le volume globulaire moyen est calculé à partir du taux d'hématocrite et de la numération des globules rouges sur sang total.</t>
  </si>
  <si>
    <t>cf Volume moyen plaquettaire</t>
  </si>
  <si>
    <t>Polynucléaires Basophiles</t>
  </si>
  <si>
    <t>Diffraction optique en cytométrie de flux avec laser semi-conducteur et fluorescence.</t>
  </si>
  <si>
    <t>9899 v12</t>
  </si>
  <si>
    <t>Plaquettes</t>
  </si>
  <si>
    <t>Impédance en cytométrie à volume fixe calibré (référence : cellule de Malassez)
ou
Diffraction optique en cytométrie de flux avec laser semi-conducteur et fluorescence</t>
  </si>
  <si>
    <t xml:space="preserve">SYSMEX XN10
</t>
  </si>
  <si>
    <t>Polynucléaires Eosinophiles</t>
  </si>
  <si>
    <t>Hématocrite</t>
  </si>
  <si>
    <t>Variation de résistivité (Impédance) en cytométrie à volume fixe calibré</t>
  </si>
  <si>
    <t xml:space="preserve">Polynucléaires Neutrophiles </t>
  </si>
  <si>
    <t>Hémoglobine</t>
  </si>
  <si>
    <t>Photométrie par une dilution dans une cuve spécifique</t>
  </si>
  <si>
    <t>Indice de distribution des globules rouges</t>
  </si>
  <si>
    <t>Impédance en cytométrie à volume fixe calibré.</t>
  </si>
  <si>
    <t>Globules Rouges</t>
  </si>
  <si>
    <t>Concentration corpusculaire moyenne en hémoglobine</t>
  </si>
  <si>
    <t xml:space="preserve">La CCMH est calculée à partir du taux d'hémoglobine et d'hématocrite. </t>
  </si>
  <si>
    <t>Monocytes</t>
  </si>
  <si>
    <t xml:space="preserve">Lymphocytes </t>
  </si>
  <si>
    <t>Globules Blancs</t>
  </si>
  <si>
    <t>Diffraction optique (laser semi-conducteur) en cytométrie de flux et fluorescence.</t>
  </si>
  <si>
    <t>Teneur corpusculaire moyenne en hémoglobine</t>
  </si>
  <si>
    <t xml:space="preserve">La TCMH est calculée à partir du taux d'hémoglobine et du nombre de globules rouges. </t>
  </si>
  <si>
    <t>Indice de distribution plaquettaire</t>
  </si>
  <si>
    <t xml:space="preserve">Impédance en cytométrie à volume fixe calibré (référence : cellule de Malassez)
</t>
  </si>
  <si>
    <t>Plaquettes sur  tube citrate</t>
  </si>
  <si>
    <t>Globules rouges optiques</t>
  </si>
  <si>
    <t>Méthode de détection par l’optique</t>
  </si>
  <si>
    <t>Compris dans la NF</t>
  </si>
  <si>
    <t>Morphologie érythrocytaire</t>
  </si>
  <si>
    <t>Etude de la morphologie des hématies sur frottis sanguin au microscope.</t>
  </si>
  <si>
    <t>Qualitatif</t>
  </si>
  <si>
    <t>Manuelle</t>
  </si>
  <si>
    <t>14907 V2</t>
  </si>
  <si>
    <t>Formule sanguine en micrscopie optique</t>
  </si>
  <si>
    <t>Microscopie optique</t>
  </si>
  <si>
    <t>14907 v2</t>
  </si>
  <si>
    <t>voir NF</t>
  </si>
  <si>
    <t>Anatomie et cytologie pathologiques</t>
  </si>
  <si>
    <t>Génétique somatique (GENSOBM)</t>
  </si>
  <si>
    <t>EGFR / HER2 : recherche des insertions / duplications / délétions dans les exons 19 et 20 de l'EGFR et 20 d'HER2 par analyse de fragment</t>
  </si>
  <si>
    <t>ADN génomique tumoral extrait à partir de tissu représentatif de la tumeur primitive ou de sa métastase (Bloc FFPE)</t>
  </si>
  <si>
    <t>PCR et Analyse des fragments d'amplification par électrophorèse capillaire.</t>
  </si>
  <si>
    <t>Semi-automatisée</t>
  </si>
  <si>
    <t>AC GS01</t>
  </si>
  <si>
    <t>B</t>
  </si>
  <si>
    <t>KRAS / BRAF : Recherche des mutations de l'exon 2 du gène KRAS et de l'exon 15 du gène BRAF SNaPshot</t>
  </si>
  <si>
    <t xml:space="preserve">Tissu représentatif de la tumeur primitive ou de sa métastase </t>
  </si>
  <si>
    <t xml:space="preserve">PCR et Extension d'amorces par SNaPshot à partir des produits d'amplification du gène </t>
  </si>
  <si>
    <t>KRAS / NRAS  : Recherche des mutations des exons 3 et 4 du gène KRAS et des exons 2, 3 et 4 du gène NRAS</t>
  </si>
  <si>
    <t>BRAF : Recherche des mutations du codon 600 du gène BRAF SNaPshot</t>
  </si>
  <si>
    <t>PCR et Extension d'amorces par SNaPshot à partir des produits d'amplification du gène</t>
  </si>
  <si>
    <t>EGFR / KRAS: recherche de mutations ponctuelles au niveau des exons 18, 20 et 21 de l'EGFR et 2 de KRAS par la technique d'extension d'amorce par SNaPshot</t>
  </si>
  <si>
    <t>COBAS EGFR Mutation test</t>
  </si>
  <si>
    <t>Tissus fixés au formol et inclus en paraffine correspondant au diagnostic d'adénocarcinome du poumon.</t>
  </si>
  <si>
    <t xml:space="preserve">PCR en temps réel à partir d'un couple d'amorces et en présence de sondes oligonucléotidiques marquées par des fluorochromes </t>
  </si>
  <si>
    <t>cobas z 480 analyzer</t>
  </si>
  <si>
    <t>IDYLLA RAS-BRAF mutation test</t>
  </si>
  <si>
    <t>Tissus fixés au formol et inclus en paraffine de cancers colorectaux humains</t>
  </si>
  <si>
    <t>Libération des acides nucléiques puis amplification des acides nucléiques libérés par PCR en temps réel. Détection par fluorescence</t>
  </si>
  <si>
    <t>IdyllaTM, Biocartis</t>
  </si>
  <si>
    <t>Histologie (HISTOACP)</t>
  </si>
  <si>
    <t>Examen histologique - Observation morphologique de constituants tissulaires et cellulaires</t>
  </si>
  <si>
    <t xml:space="preserve">Lame comportant une coupe de tissu d'origine humaine fixé au formol et inclu en paraffine </t>
  </si>
  <si>
    <t>Coloration standard HES</t>
  </si>
  <si>
    <t>Automate de Coloration SAKURA PRISMA</t>
  </si>
  <si>
    <t>AC HA01</t>
  </si>
  <si>
    <t>Bactériologie</t>
  </si>
  <si>
    <t>Bactériologie Spécialisée (BACTH)</t>
  </si>
  <si>
    <t>Recherche d'ADN bactérien de Bordetella perussis (PCR)</t>
  </si>
  <si>
    <t>Prélèvements broncho-pulmonaires, Culture bactérienne</t>
  </si>
  <si>
    <t>Détection d'acides nucléiques (PCR)-Biologie moléculaire</t>
  </si>
  <si>
    <t>Extraction: EZ 1 Qiagen
PCR temps réel: CFX96 Biorad</t>
  </si>
  <si>
    <t>BM BA02</t>
  </si>
  <si>
    <t>Microbiologie Générale (MICROBIOBM)</t>
  </si>
  <si>
    <t>Mise en culture pour recherche et identification de germes bactériens</t>
  </si>
  <si>
    <t>Echantillons biologiques d'origine humaine et dispositifs implantables</t>
  </si>
  <si>
    <t>Mise en culture (ensemencement)</t>
  </si>
  <si>
    <t>BM MG11</t>
  </si>
  <si>
    <t>Mise en culture automatisée pour recherche et identification de germes bactériens</t>
  </si>
  <si>
    <t xml:space="preserve">Echantillons biologiques d'origine humaine  </t>
  </si>
  <si>
    <t>Automate PreLUD (I2A)</t>
  </si>
  <si>
    <t>Identification automatisée de germes bactériens</t>
  </si>
  <si>
    <t xml:space="preserve">Tout échantillon biologique d'origine humaine, dispositif implantable, culture bactérienne </t>
  </si>
  <si>
    <t>Détermination phénotypique après culture.
Colorimétrie</t>
  </si>
  <si>
    <t>Automate Vitek2 (Bio Mérieux)</t>
  </si>
  <si>
    <t xml:space="preserve">Recherche et identification manuelle de germes bactériens et/ou de bactéries spécifiques </t>
  </si>
  <si>
    <t>Détermination phénotypique après culture.
Morphologie,microscopie,caractérisation par spectrométrie de masse.</t>
  </si>
  <si>
    <t>Microscope
Spectromètres de masse Maldi Tof (Brucker)</t>
  </si>
  <si>
    <t>Examen direct après coloration pour recherche de germes bactériens</t>
  </si>
  <si>
    <t xml:space="preserve"> Echantillon biologique d'origine humaine
Autres échantillons (liés à un dispositif intra-vasculaire, liquide de dialyse, …)
Culture
</t>
  </si>
  <si>
    <t>Examen morphologique direct macro– et microscopique à l'état frais et/ou après culture, avec ou sans préparation (coloration)</t>
  </si>
  <si>
    <t xml:space="preserve"> Qualitatif</t>
  </si>
  <si>
    <t xml:space="preserve"> Automatisée</t>
  </si>
  <si>
    <t xml:space="preserve">2 colorateurs Aérospray Gram, Elitech
1 colorateur Borealys Duo GZ Gram/Ziehl, Biocentric
1 colorateur Aérospray Auramine TB, Elitech 
</t>
  </si>
  <si>
    <t>30391 v2</t>
  </si>
  <si>
    <t>cf ensemencement</t>
  </si>
  <si>
    <t>Antibiogramme automatisé de Mycobactéries du complexe tuberculosis</t>
  </si>
  <si>
    <t>Culture de mycobactéries du complexe tuberculosis</t>
  </si>
  <si>
    <t xml:space="preserve">Inhibition de croissance en milieu liquide en présence d'une certaine concentration d'antibiotique(s), après incubation.
</t>
  </si>
  <si>
    <t>Automate Bactec MGIT (Becton Dickinson)</t>
  </si>
  <si>
    <t>BM MG12</t>
  </si>
  <si>
    <t xml:space="preserve"> Antibiogramme automatisé</t>
  </si>
  <si>
    <t xml:space="preserve">Culture bactérienne </t>
  </si>
  <si>
    <t>Antibiogramme manuel</t>
  </si>
  <si>
    <t>Méthode de diffusion en gradient de concentration en milieu gélosé.
Inhibition de croissance en présence d'une certaine concentration d'antibiotique(s)après incubation.</t>
  </si>
  <si>
    <t>Sérologie Syphilis</t>
  </si>
  <si>
    <t>sérum</t>
  </si>
  <si>
    <t>Chemiluminescence (CMIA)</t>
  </si>
  <si>
    <t>Alinity-i (Abbott)</t>
  </si>
  <si>
    <t>30392 v1</t>
  </si>
  <si>
    <t>ajout</t>
  </si>
  <si>
    <t>BM MG01</t>
  </si>
  <si>
    <t>Antigénurie Légionelle (test rapide)</t>
  </si>
  <si>
    <t>Urines</t>
  </si>
  <si>
    <t>immunochromatographie et immunofluorescence</t>
  </si>
  <si>
    <t xml:space="preserve"> Sofia 2 (Ingen) </t>
  </si>
  <si>
    <t>14932 v3</t>
  </si>
  <si>
    <t>BM MG03</t>
  </si>
  <si>
    <t>Antigénurie Pneumocoque (test rapide)</t>
  </si>
  <si>
    <t>Urines / LCR</t>
  </si>
  <si>
    <t>32354 v2</t>
  </si>
  <si>
    <t>Cytologie urinaire automatisée</t>
  </si>
  <si>
    <t>Cytométrie en flux</t>
  </si>
  <si>
    <t>Automate UF-4000 (BIOMERIEUX/Sysmex)</t>
  </si>
  <si>
    <t>14883 v2</t>
  </si>
  <si>
    <t>BM MG07</t>
  </si>
  <si>
    <t>Cytologie des liquides de ponction automatisée</t>
  </si>
  <si>
    <t>Liquides biologiques : pleural, ascite, LCR, articulaire, dialyse péritonéale</t>
  </si>
  <si>
    <t>35359 v1</t>
  </si>
  <si>
    <t>Recherche automatisée de mycobactéries en milieu liquide sur Bactec MGIT.</t>
  </si>
  <si>
    <t>Tout échantillon biologique d'origine humaine, sauf urines, sang et dérivés.</t>
  </si>
  <si>
    <t>Analyse chimique après culture par fluorescence</t>
  </si>
  <si>
    <t>BM MG08</t>
  </si>
  <si>
    <t xml:space="preserve">Recherche automatisée de germes bactériens et/ou de bactéries spécifiques dans les liquides biologiques d'origine humaine </t>
  </si>
  <si>
    <t>Sang et dérivés, liquide biologique d'origine humaine</t>
  </si>
  <si>
    <t>Fluorométrie</t>
  </si>
  <si>
    <t xml:space="preserve">5 modules </t>
  </si>
  <si>
    <t>Automate Bactec 3D FX  (Becton, Dickinson)</t>
  </si>
  <si>
    <t>Delta-4 androstènedione sérique</t>
  </si>
  <si>
    <t>Chromatographie liquide couplée à la spectrométrie de masse en tandem LC-MS/MS</t>
  </si>
  <si>
    <t>spectromètre de masse LCMS 8060 Shimadzu couplé à une chaîne HPLC Nexera X2 Shimadzu</t>
  </si>
  <si>
    <t>34829 v1</t>
  </si>
  <si>
    <t>BM BB02</t>
  </si>
  <si>
    <t>Testostérone sérique</t>
  </si>
  <si>
    <t>34827 v1</t>
  </si>
  <si>
    <t>17-OH progestérone sérique</t>
  </si>
  <si>
    <t>34830 v1</t>
  </si>
  <si>
    <t>Cortisol salivaire</t>
  </si>
  <si>
    <t>Salive</t>
  </si>
  <si>
    <t xml:space="preserve">spectromètre de masse LCMS 8060 Shimadzu couplé à une chaîne HPLC Nexera X2 Shimadzu </t>
  </si>
  <si>
    <t>37453 v1</t>
  </si>
  <si>
    <t>Cortisol urinaire</t>
  </si>
  <si>
    <t>Urine</t>
  </si>
  <si>
    <t>T3 libre</t>
  </si>
  <si>
    <t>15087 v003</t>
  </si>
  <si>
    <t>Hormone folliculo-stimulante (FSH)</t>
  </si>
  <si>
    <t>17186 v4</t>
  </si>
  <si>
    <t xml:space="preserve">IgG </t>
  </si>
  <si>
    <t>Immunonéphélémétrie</t>
  </si>
  <si>
    <t>Optilite de The Binding Site</t>
  </si>
  <si>
    <t>22258 v3</t>
  </si>
  <si>
    <t>IgM</t>
  </si>
  <si>
    <t>36409 v1</t>
  </si>
  <si>
    <t>IgA</t>
  </si>
  <si>
    <t>22259 v3</t>
  </si>
  <si>
    <t>Transthyrétine</t>
  </si>
  <si>
    <t>22261 v4</t>
  </si>
  <si>
    <t>Alpha 1 antitrypsine sérique</t>
  </si>
  <si>
    <t xml:space="preserve">Immunonéphélémétrie </t>
  </si>
  <si>
    <t>25640 v5</t>
  </si>
  <si>
    <t>Béta-crosslaps</t>
  </si>
  <si>
    <t>27737 v2</t>
  </si>
  <si>
    <t>AMH sanguin</t>
  </si>
  <si>
    <t>Electrochimiluminescence utilisant deux anticorps monoclonaux spécifiques</t>
  </si>
  <si>
    <t>30400 v2</t>
  </si>
  <si>
    <t>Haptoglobine</t>
  </si>
  <si>
    <t>10672 v4</t>
  </si>
  <si>
    <t>Cortisol</t>
  </si>
  <si>
    <t>15006 v003</t>
  </si>
  <si>
    <t>Estradiol femme</t>
  </si>
  <si>
    <t>15041 v003</t>
  </si>
  <si>
    <t>Procalcitonine</t>
  </si>
  <si>
    <t>14870 v004</t>
  </si>
  <si>
    <t>T4 libre</t>
  </si>
  <si>
    <t>15074 v004</t>
  </si>
  <si>
    <t xml:space="preserve">Lactate déshydrogénase </t>
  </si>
  <si>
    <t>Cobas 8000</t>
  </si>
  <si>
    <t>15037 v004</t>
  </si>
  <si>
    <t>Sex hormone binding globulin (SHBG)</t>
  </si>
  <si>
    <t>17191 v2</t>
  </si>
  <si>
    <t>Hormone lutéinisante (LH)</t>
  </si>
  <si>
    <t>17187 v2</t>
  </si>
  <si>
    <t>Prolactine</t>
  </si>
  <si>
    <t>17188 v2</t>
  </si>
  <si>
    <t>Adrenocorticotropic Hormone (ACTH)</t>
  </si>
  <si>
    <t>17189 v3</t>
  </si>
  <si>
    <t>Progesterone</t>
  </si>
  <si>
    <t>23476 v2</t>
  </si>
  <si>
    <t>ACE (Antigène carcinoembryonnaire)</t>
  </si>
  <si>
    <t>22306 v1</t>
  </si>
  <si>
    <t>Fer sérique</t>
  </si>
  <si>
    <t>25088 v2</t>
  </si>
  <si>
    <t>C4</t>
  </si>
  <si>
    <t>Turbidimétrie</t>
  </si>
  <si>
    <t>22305 v2</t>
  </si>
  <si>
    <t>C3c</t>
  </si>
  <si>
    <t>22304 v2</t>
  </si>
  <si>
    <t>CA 19-9</t>
  </si>
  <si>
    <t>Immunofluorescence</t>
  </si>
  <si>
    <t xml:space="preserve">Automate Kryptor Compact Plus (societé Thermo Scientific) </t>
  </si>
  <si>
    <t>23785 v1</t>
  </si>
  <si>
    <t>CA 15-3</t>
  </si>
  <si>
    <t>23782 v1</t>
  </si>
  <si>
    <t>CA 125</t>
  </si>
  <si>
    <t>23788 v1</t>
  </si>
  <si>
    <t>AFP</t>
  </si>
  <si>
    <t>22307 v2</t>
  </si>
  <si>
    <t>Beta 2 microglobuline sérique</t>
  </si>
  <si>
    <t>25639 v3</t>
  </si>
  <si>
    <t>Céruléoplasmine</t>
  </si>
  <si>
    <t>25638 v5</t>
  </si>
  <si>
    <t>25-OH vitamine D</t>
  </si>
  <si>
    <t xml:space="preserve">Chimiluminescence </t>
  </si>
  <si>
    <t>LIAISON XL</t>
  </si>
  <si>
    <t>PTH</t>
  </si>
  <si>
    <t>CK-MB</t>
  </si>
  <si>
    <t>Myoglobine</t>
  </si>
  <si>
    <t>26742 v1</t>
  </si>
  <si>
    <t>Insuline</t>
  </si>
  <si>
    <t>26382 v1</t>
  </si>
  <si>
    <t>Peptide C</t>
  </si>
  <si>
    <t>26385 v1</t>
  </si>
  <si>
    <t>Orosomucoide</t>
  </si>
  <si>
    <t>26350 v1</t>
  </si>
  <si>
    <t>Transferrine</t>
  </si>
  <si>
    <t>Ammoniémie</t>
  </si>
  <si>
    <t>27474 v2</t>
  </si>
  <si>
    <t>Fructosamines</t>
  </si>
  <si>
    <t>26932 v1</t>
  </si>
  <si>
    <t>Chaines légères libres Kappa</t>
  </si>
  <si>
    <t>27428 v3</t>
  </si>
  <si>
    <t>Chaines légères libres Lambda</t>
  </si>
  <si>
    <t>Albumine T</t>
  </si>
  <si>
    <t>Indice Gamma</t>
  </si>
  <si>
    <t>LCR et Sang</t>
  </si>
  <si>
    <t>Angiotensine convertase</t>
  </si>
  <si>
    <t>Folates</t>
  </si>
  <si>
    <t>Vitamine B12</t>
  </si>
  <si>
    <t>Neurone specific enolase (NSE)</t>
  </si>
  <si>
    <t>Fluorescence</t>
  </si>
  <si>
    <t>HCG Tumorale</t>
  </si>
  <si>
    <t>Chimiluminescence</t>
  </si>
  <si>
    <t>Sodium urinaire</t>
  </si>
  <si>
    <t>Potassium urinaire</t>
  </si>
  <si>
    <t>16948 v2</t>
  </si>
  <si>
    <t>Créatinine urinaire</t>
  </si>
  <si>
    <t>28463 v1</t>
  </si>
  <si>
    <t>Hormone de croissance GH</t>
  </si>
  <si>
    <t>27676 v1</t>
  </si>
  <si>
    <t>IGF1</t>
  </si>
  <si>
    <t>27668 v1</t>
  </si>
  <si>
    <t>Rénine</t>
  </si>
  <si>
    <t>28011 v1</t>
  </si>
  <si>
    <t>1,25 - OH vitamine D</t>
  </si>
  <si>
    <t>28012 v1</t>
  </si>
  <si>
    <t>Calcul du coefficient de saturation de la transferrine</t>
  </si>
  <si>
    <t>Non Applicable</t>
  </si>
  <si>
    <t>PAPP-A pour le dépistage de la T21</t>
  </si>
  <si>
    <t>Technologie TRACE</t>
  </si>
  <si>
    <t>23801 v1</t>
  </si>
  <si>
    <t>AFP pour le dépistage de la T21</t>
  </si>
  <si>
    <t>Free Beta pour le dépistage de la T21</t>
  </si>
  <si>
    <t>Osmolalité plasmatique</t>
  </si>
  <si>
    <t>Cryoscopie</t>
  </si>
  <si>
    <t xml:space="preserve">OsmoPro® </t>
  </si>
  <si>
    <t>27255 v3</t>
  </si>
  <si>
    <t>PSA total</t>
  </si>
  <si>
    <t>22308 v3</t>
  </si>
  <si>
    <t>PSA libre</t>
  </si>
  <si>
    <t>22308 v4</t>
  </si>
  <si>
    <t>Glucose (LCR)</t>
  </si>
  <si>
    <t>LCR</t>
  </si>
  <si>
    <t>29295 v1</t>
  </si>
  <si>
    <t>Protides (LCR)</t>
  </si>
  <si>
    <t>29072 v2</t>
  </si>
  <si>
    <t>Lactate (LCR)</t>
  </si>
  <si>
    <t xml:space="preserve">Enzymatique </t>
  </si>
  <si>
    <t>29329 v1</t>
  </si>
  <si>
    <t>Pseudocholinestérase</t>
  </si>
  <si>
    <t>Colorimétrique</t>
  </si>
  <si>
    <t>29650 v1</t>
  </si>
  <si>
    <t>Acides biliaires</t>
  </si>
  <si>
    <t>29652 v1</t>
  </si>
  <si>
    <t>Alpha 1 microglobuline urinaire</t>
  </si>
  <si>
    <t xml:space="preserve">Turbidimétrie </t>
  </si>
  <si>
    <t>29919 v2</t>
  </si>
  <si>
    <t>Sulfate de DHEA sanguin</t>
  </si>
  <si>
    <t>Chimiluminescence, methode par compétition en utilisant un anticorps monoclonal</t>
  </si>
  <si>
    <t>DiaSorin Liaison XL</t>
  </si>
  <si>
    <t>30387 v1</t>
  </si>
  <si>
    <t>Ostéocalcine sanguin</t>
  </si>
  <si>
    <t>30401 v1</t>
  </si>
  <si>
    <t>Phosphatases alcalines osseuses sanguin</t>
  </si>
  <si>
    <t>Chimiluminescence, méthode sandwich utilisant deux anticorps monoclonaux reconnaissant l'isoforme osseuse de la phosphatase alcaline</t>
  </si>
  <si>
    <t>30399 v1</t>
  </si>
  <si>
    <t>Calcitonine sanguin</t>
  </si>
  <si>
    <t>30386 v1</t>
  </si>
  <si>
    <t>Aldostérone sanguin</t>
  </si>
  <si>
    <t>Chimiluminescence, méthode par compétition utilisant un anticorps monoclona</t>
  </si>
  <si>
    <t>30385 v1</t>
  </si>
  <si>
    <t>Albumine urinaire</t>
  </si>
  <si>
    <t>30511 v2</t>
  </si>
  <si>
    <t>Chaines légères kappa urinaires</t>
  </si>
  <si>
    <t>voir kappa</t>
  </si>
  <si>
    <t>Chaines légères lambda urinaires</t>
  </si>
  <si>
    <t>Chromogranine A</t>
  </si>
  <si>
    <t>30809 v1</t>
  </si>
  <si>
    <t>Protides urinaires</t>
  </si>
  <si>
    <t>Amylase plasmatique</t>
  </si>
  <si>
    <t>31011 v1</t>
  </si>
  <si>
    <t>Osmolalité (urines)</t>
  </si>
  <si>
    <t>CRP US ultrasensible</t>
  </si>
  <si>
    <t>31719 v2</t>
  </si>
  <si>
    <t>C1 inhibiteur</t>
  </si>
  <si>
    <t>31972 v4</t>
  </si>
  <si>
    <t>Urée urinaire</t>
  </si>
  <si>
    <t>15075 v6</t>
  </si>
  <si>
    <t>Acide urique urinaire</t>
  </si>
  <si>
    <t>Calcium urinaire</t>
  </si>
  <si>
    <t>Spectrophotométrique</t>
  </si>
  <si>
    <t>15026 v5</t>
  </si>
  <si>
    <t>Glucose urinaire</t>
  </si>
  <si>
    <t>Phospore urinaire</t>
  </si>
  <si>
    <t>Test photométrique - Molybdate UV</t>
  </si>
  <si>
    <t>Magnesium urinaire</t>
  </si>
  <si>
    <t>15040 v6</t>
  </si>
  <si>
    <t>LDH</t>
  </si>
  <si>
    <t>Liquides divers</t>
  </si>
  <si>
    <t>15037 v4</t>
  </si>
  <si>
    <t>Créatinine</t>
  </si>
  <si>
    <t>Glucose</t>
  </si>
  <si>
    <t>Cholesterol</t>
  </si>
  <si>
    <t>Triglycérides</t>
  </si>
  <si>
    <t>Amylase</t>
  </si>
  <si>
    <t xml:space="preserve">Protides </t>
  </si>
  <si>
    <t>15030 v7</t>
  </si>
  <si>
    <t>15067 v6</t>
  </si>
  <si>
    <t>Bilirubine</t>
  </si>
  <si>
    <t>Phosphore</t>
  </si>
  <si>
    <t xml:space="preserve">Test photométrique </t>
  </si>
  <si>
    <t>Colorimétrique enzymatique</t>
  </si>
  <si>
    <t>15039 v8</t>
  </si>
  <si>
    <t>HCG urinaire</t>
  </si>
  <si>
    <t>HVA urinaire</t>
  </si>
  <si>
    <t xml:space="preserve">Chromatographie Liquide Haute Performance avec détection électrochimique </t>
  </si>
  <si>
    <t xml:space="preserve">HPLC Ultimate 3000 ThermoScientific </t>
  </si>
  <si>
    <t>VMA urinaire</t>
  </si>
  <si>
    <t>5 HIAA urinaire</t>
  </si>
  <si>
    <t>Vitamine A</t>
  </si>
  <si>
    <t>Chromatographie Liquide Haute Performance</t>
  </si>
  <si>
    <t>Vitamine E</t>
  </si>
  <si>
    <t>Electrophorèse des protéines urinaires</t>
  </si>
  <si>
    <t>Electrophorèse</t>
  </si>
  <si>
    <t>Hydrasys 2 scan sebia 1762</t>
  </si>
  <si>
    <t>29805 v2</t>
  </si>
  <si>
    <t>BM BB04</t>
  </si>
  <si>
    <t>Electrophorèse des protéines sériques</t>
  </si>
  <si>
    <t>hydrasys SEBIA</t>
  </si>
  <si>
    <t>Hémoglobine glyquée</t>
  </si>
  <si>
    <t>SEBIA, Capillarys3 Octa</t>
  </si>
  <si>
    <t>32342 v1</t>
  </si>
  <si>
    <t>Immunofixation des protéines sériques</t>
  </si>
  <si>
    <t>Immunofixaton</t>
  </si>
  <si>
    <t>27910 v2</t>
  </si>
  <si>
    <t>Immunofixation des protéines urinaires</t>
  </si>
  <si>
    <t>Lithiase urinaire</t>
  </si>
  <si>
    <t>Examen macroscopique et microscopique / Spectroscopie proche infra-rouge</t>
  </si>
  <si>
    <t>qualitatif</t>
  </si>
  <si>
    <t> Manuelle/automatisé</t>
  </si>
  <si>
    <t>BM BB07</t>
  </si>
  <si>
    <t>Cuivre sérique</t>
  </si>
  <si>
    <t>Spectrométrie d'absorption atomique (SAA)</t>
  </si>
  <si>
    <t>Pinnacle 900T - Perkin Elmer</t>
  </si>
  <si>
    <t>25657 v5</t>
  </si>
  <si>
    <t>BM BB09</t>
  </si>
  <si>
    <t>Zinc sérique</t>
  </si>
  <si>
    <t>25658 v6</t>
  </si>
  <si>
    <t>Sélénium sérique</t>
  </si>
  <si>
    <t>22265 v5</t>
  </si>
  <si>
    <t>Lieux de Travail-Biologie médicale</t>
  </si>
  <si>
    <t>Pharmacologie-Toxicologie (TOXICOBM)</t>
  </si>
  <si>
    <t>Plombémie</t>
  </si>
  <si>
    <t>Spectrométrie d'absorption atomique</t>
  </si>
  <si>
    <t>Pinnacle 900 T - Perkin Elmer</t>
  </si>
  <si>
    <t>8616 v8</t>
  </si>
  <si>
    <t>LT PB01</t>
  </si>
  <si>
    <t>Biochimie Métabolique</t>
  </si>
  <si>
    <t>Créatine</t>
  </si>
  <si>
    <t>Extraction de la créatine de l'urine et analyse par spectrometrie de masse en tandem.</t>
  </si>
  <si>
    <t>Spectromètre de masse en tandem couplé à une HPLC</t>
  </si>
  <si>
    <t>15078 v002</t>
  </si>
  <si>
    <t>Guanidinoacétate</t>
  </si>
  <si>
    <t>Extraction du guanidinoacétate de l'urine et analyse par spectrometrie de masse en tandem.</t>
  </si>
  <si>
    <t>15079 v003</t>
  </si>
  <si>
    <t>Extraction de la créatinine de l'urine et analyse par spectrometrie de masse en tandem.</t>
  </si>
  <si>
    <t>15080 v002</t>
  </si>
  <si>
    <t>Homocystéine plasmatique</t>
  </si>
  <si>
    <t xml:space="preserve">Spectrométrie de masse en tandem </t>
  </si>
  <si>
    <t>27419 v1</t>
  </si>
  <si>
    <t>Méthionine plasmatique</t>
  </si>
  <si>
    <t>Chromatographie liquide haute performance  avec détection par spectrométrie de masse en tandem (LC-MS/MS)</t>
  </si>
  <si>
    <t>Système HPLC Shimadzu couplé à spectromètre de masse ABSciex 4000QTrap</t>
  </si>
  <si>
    <t>34818 v1</t>
  </si>
  <si>
    <t>Créatine plasmatique</t>
  </si>
  <si>
    <t>Chromatographie liquide haute performance (CLHP) avec détection par spectrométrie de masse en tandem (MSMS)</t>
  </si>
  <si>
    <t>34840 v1</t>
  </si>
  <si>
    <t>Guanidinoacétate plasmatique</t>
  </si>
  <si>
    <t>34841 v1</t>
  </si>
  <si>
    <t>Acide glutarique</t>
  </si>
  <si>
    <t>Chromatographie en phase gazeuse avec detection par spectrométrie      de masse</t>
  </si>
  <si>
    <t>SHIMADZU QP2010</t>
  </si>
  <si>
    <t>30402 v3</t>
  </si>
  <si>
    <t>Alanine sur buvard</t>
  </si>
  <si>
    <t>Sang séché sur papier buvard</t>
  </si>
  <si>
    <t>FIA avec détection par spectrométrie de masse en tandem (MSMS)</t>
  </si>
  <si>
    <t>FIA, Injecteur : 2 Qsight HC Autosampler MD et MSMS : PerkinElmer Qsight 225MD</t>
  </si>
  <si>
    <t>32077 v2</t>
  </si>
  <si>
    <t>Arginine sur buvard</t>
  </si>
  <si>
    <t>32078 v2</t>
  </si>
  <si>
    <t>Citrulline sur buvard</t>
  </si>
  <si>
    <t>32080 v2</t>
  </si>
  <si>
    <t>Glycine sur buvard</t>
  </si>
  <si>
    <t>32081 v2</t>
  </si>
  <si>
    <t>Leucine - Isoleucine sur buvard</t>
  </si>
  <si>
    <t>32082 v2</t>
  </si>
  <si>
    <t>Methionine sur buvard</t>
  </si>
  <si>
    <t>32083 v2</t>
  </si>
  <si>
    <t>Tyrosine sur buvard</t>
  </si>
  <si>
    <t>32085 v2</t>
  </si>
  <si>
    <t>Valine sur buvard</t>
  </si>
  <si>
    <t>32087 v2</t>
  </si>
  <si>
    <t>Carnitine libre (C0) sur buvard</t>
  </si>
  <si>
    <t>FIA, Injecteur : Qsight HC Autosampler MD et MSMS : PerkinElmer Qsight 225MD</t>
  </si>
  <si>
    <t>32094 v2</t>
  </si>
  <si>
    <t>Acétylcarnitine (C2) sur buvard</t>
  </si>
  <si>
    <t>32095 v2</t>
  </si>
  <si>
    <t>Propionylcarnitine (C3) sur buvard</t>
  </si>
  <si>
    <t>32096 v2</t>
  </si>
  <si>
    <t>Butyrylcarnitine (C4) sur buvard</t>
  </si>
  <si>
    <t>32097 v2</t>
  </si>
  <si>
    <t>Isovalerylcarnitine (C5) sur buvard</t>
  </si>
  <si>
    <t>32098 v2</t>
  </si>
  <si>
    <t>Octanoylcarnitine (C8) sur buvard</t>
  </si>
  <si>
    <t>32100 v2</t>
  </si>
  <si>
    <t>Tetradécanoylcarnitine (C14) sur buvard</t>
  </si>
  <si>
    <t>32103 v2</t>
  </si>
  <si>
    <t>Octadécanoylcarnitine (C18) sur buvard</t>
  </si>
  <si>
    <t>32104 v2</t>
  </si>
  <si>
    <t>Ornithine sur buvard</t>
  </si>
  <si>
    <t>32190 v2</t>
  </si>
  <si>
    <t>Phenylalanine sur buvard</t>
  </si>
  <si>
    <t>32084 v2</t>
  </si>
  <si>
    <t>C3DC-C4OH sur buvard</t>
  </si>
  <si>
    <t>32197 v2</t>
  </si>
  <si>
    <t>C4DC-C5OH sur buvard</t>
  </si>
  <si>
    <t>32193 v2</t>
  </si>
  <si>
    <t>C5DC-C6OH sur buvard</t>
  </si>
  <si>
    <t>32175 v2</t>
  </si>
  <si>
    <t>Hexanoylcarnitine (C6) sur buvard</t>
  </si>
  <si>
    <t>32099 v2</t>
  </si>
  <si>
    <t>Decanoylcarnitine (C10) sur buvard</t>
  </si>
  <si>
    <t>32101 v2</t>
  </si>
  <si>
    <t>Dodecanoylcarnitine (C12) sur buvard</t>
  </si>
  <si>
    <t>32102 v2</t>
  </si>
  <si>
    <t>Tetradecenoylcarnitine (C14:1) sur buvard</t>
  </si>
  <si>
    <t>32195 v2</t>
  </si>
  <si>
    <t>Hexadecanoylcarnitine (C16) sur buvard</t>
  </si>
  <si>
    <t>32191 v2</t>
  </si>
  <si>
    <t>C16OH sur buvard</t>
  </si>
  <si>
    <t>32176 v2</t>
  </si>
  <si>
    <t>C18OH sur buvard</t>
  </si>
  <si>
    <t>32177 v2</t>
  </si>
  <si>
    <t>Tiglycarnitine (C5:1) sur buvard</t>
  </si>
  <si>
    <t>32209 v2</t>
  </si>
  <si>
    <t>Activité de l'enzyme lysosomale alpha glucocérébrosidase (ABG)</t>
  </si>
  <si>
    <t>7654 v3</t>
  </si>
  <si>
    <t>Activité de l'enzyme lysosomale sphingomyelinase (ASM)</t>
  </si>
  <si>
    <t>7649 v2</t>
  </si>
  <si>
    <t>Activité de l'enzyme lysosomale alpha glucosidase (GAA)</t>
  </si>
  <si>
    <t>7648 v2</t>
  </si>
  <si>
    <t>Activité de l'enzyme lysosomale beta galactocérébrosidase (GALC)</t>
  </si>
  <si>
    <t>7651 v2</t>
  </si>
  <si>
    <t>Activité de l'enzyme lysosomale alpha galactosidase (GLA)</t>
  </si>
  <si>
    <t>7656 v2</t>
  </si>
  <si>
    <t>Activité de l'enzyme lysosomale alpha L iduronidase (IDUA)</t>
  </si>
  <si>
    <t>7650 v3</t>
  </si>
  <si>
    <t>Lactate plasmatique</t>
  </si>
  <si>
    <t xml:space="preserve">Méthode enzymatique </t>
  </si>
  <si>
    <t xml:space="preserve">Cobas C111 </t>
  </si>
  <si>
    <t>26465 v1</t>
  </si>
  <si>
    <t>Pyruvate plasmatique</t>
  </si>
  <si>
    <t>26466 v3</t>
  </si>
  <si>
    <t>Lipase acide lysosomale</t>
  </si>
  <si>
    <t>Méthode enzymatique avec detection par fluorimétrie</t>
  </si>
  <si>
    <t>HITACHI F-7000</t>
  </si>
  <si>
    <t>Hexosaminidase A</t>
  </si>
  <si>
    <t>30362 V2</t>
  </si>
  <si>
    <t>Hexosaminidases totales</t>
  </si>
  <si>
    <t>30363 V1</t>
  </si>
  <si>
    <t>Alpha fucosidase sur buvard</t>
  </si>
  <si>
    <t>32169 v1</t>
  </si>
  <si>
    <t>Alpha mannosidase sur buvard</t>
  </si>
  <si>
    <t>32170 v1</t>
  </si>
  <si>
    <t>Beta mannosidase sur buvard</t>
  </si>
  <si>
    <t>32171 v1</t>
  </si>
  <si>
    <t>Génétique constitutionnelle (GENCOBM)</t>
  </si>
  <si>
    <t>Séquencage Sanger de l'exon 1 de HGSNAT</t>
  </si>
  <si>
    <t>Sang / ADN extrait de sang</t>
  </si>
  <si>
    <t>Séquançage Sanger</t>
  </si>
  <si>
    <t xml:space="preserve">Séquenceur ABS3500 </t>
  </si>
  <si>
    <t>38469 v1</t>
  </si>
  <si>
    <t>BM GC04</t>
  </si>
  <si>
    <t>ADN</t>
  </si>
  <si>
    <t>BM GC07</t>
  </si>
  <si>
    <t>Biologie de la Reproduction</t>
  </si>
  <si>
    <t>Spermiologie diagnostique (SPERMIOBM)</t>
  </si>
  <si>
    <t>Volume du sperme</t>
  </si>
  <si>
    <t>Spermes</t>
  </si>
  <si>
    <t>Pesée du sperme</t>
  </si>
  <si>
    <t>14892 v3</t>
  </si>
  <si>
    <t>BM SP01</t>
  </si>
  <si>
    <t>cf Numération des spermatozoïdes et des cellules rondes</t>
  </si>
  <si>
    <t>Numération des spermatozoïdes et des cellules rondes</t>
  </si>
  <si>
    <t>Comptage après dépôt sur une cellule de type hémocytomètre</t>
  </si>
  <si>
    <t>14891 v3</t>
  </si>
  <si>
    <t>Mobilité des spermatozoïdes</t>
  </si>
  <si>
    <t>Observation et évaluation qualitative au microscope</t>
  </si>
  <si>
    <t>14864 v3</t>
  </si>
  <si>
    <t>pH du sperme</t>
  </si>
  <si>
    <t>Evaluation qualitative à partir du papier pH</t>
  </si>
  <si>
    <t>14545 v3</t>
  </si>
  <si>
    <t>Viscosité du sperme</t>
  </si>
  <si>
    <t>Observation de l’écoulement du sperme au bout d’une pipette</t>
  </si>
  <si>
    <t>14508 v3</t>
  </si>
  <si>
    <t>Agglutination des spermatozoïdes</t>
  </si>
  <si>
    <t>Evaluation qualitative au microscope</t>
  </si>
  <si>
    <t>14511 v3</t>
  </si>
  <si>
    <t>Leucospermie</t>
  </si>
  <si>
    <t>Evaluation qualitative au microscope en présence d’un colorant vital</t>
  </si>
  <si>
    <t>14823 v3</t>
  </si>
  <si>
    <t>Recherche et identification des spermatozoïdes après traitement (Numération et Mobilité des spermatozoïdes après traitement)</t>
  </si>
  <si>
    <t xml:space="preserve">Comptage après dépôt sur une cellule de type hémocytomètre /
Observation et évaluation qualitative au microscope
</t>
  </si>
  <si>
    <t>Quantitatif et Qualitatif</t>
  </si>
  <si>
    <t>16822 v3</t>
  </si>
  <si>
    <t>Vitalité des spermatozoïdes</t>
  </si>
  <si>
    <t>Comptage après confection du frottis de spermatozoïdes colorés</t>
  </si>
  <si>
    <t>14594 v3</t>
  </si>
  <si>
    <t>BM SP03</t>
  </si>
  <si>
    <t>Spermocytogramme</t>
  </si>
  <si>
    <t>Observation et description des anomalies morphologiques du spermatozoïdes sur frottis après coloration</t>
  </si>
  <si>
    <t>16824 v3</t>
  </si>
  <si>
    <t>Etude de la qualité nucléaire du spermatozoïde : MSOME</t>
  </si>
  <si>
    <t>Observation et mesure des vacuoles sur la tête des spermatozoïdes mobiles</t>
  </si>
  <si>
    <t>16823 v3</t>
  </si>
  <si>
    <t>Etude de la qualité nucléaire du spermatozoïde : Condensation de la chromatine</t>
  </si>
  <si>
    <t>16825 v3</t>
  </si>
  <si>
    <t>BM SP05</t>
  </si>
  <si>
    <t>Recherche des anticorps anti-spermatozoïdes</t>
  </si>
  <si>
    <t>pesée du sperme</t>
  </si>
  <si>
    <t>16826 v3</t>
  </si>
  <si>
    <t>BM SP07</t>
  </si>
  <si>
    <t>Cytogénétique</t>
  </si>
  <si>
    <t>Recherche d'anomalies chromosomiques de nombre ou de structure</t>
  </si>
  <si>
    <t>Culture, colorimétrie et microscopie ("banding")</t>
  </si>
  <si>
    <t>10238 v4</t>
  </si>
  <si>
    <t>BM GC01</t>
  </si>
  <si>
    <t>FISH sur sang</t>
  </si>
  <si>
    <r>
      <t xml:space="preserve">Hybridation moléculaire fluorescente </t>
    </r>
    <r>
      <rPr>
        <i/>
        <sz val="10"/>
        <rFont val="Calibri"/>
        <family val="2"/>
        <scheme val="minor"/>
      </rPr>
      <t xml:space="preserve">in situ </t>
    </r>
    <r>
      <rPr>
        <sz val="10"/>
        <rFont val="Calibri"/>
        <family val="2"/>
        <scheme val="minor"/>
      </rPr>
      <t xml:space="preserve">("FISH rapide") interphasique et/ou métaphasique mono- ou multi-sonde, et microscopie, sur préparation nucléaire </t>
    </r>
  </si>
  <si>
    <t>Qualitatif
/quantitatif</t>
  </si>
  <si>
    <t>30411 v2</t>
  </si>
  <si>
    <t>BM GC02</t>
  </si>
  <si>
    <t>FISH sur liquide amniotique</t>
  </si>
  <si>
    <t>Liquide Amniotique</t>
  </si>
  <si>
    <t>FISH sur villosités choriales</t>
  </si>
  <si>
    <t>Villosités choriales</t>
  </si>
  <si>
    <t>FISH sur autre tissus</t>
  </si>
  <si>
    <t>placenta
Fibroblastes
Autres tissus</t>
  </si>
  <si>
    <t>CGH array sur Sang</t>
  </si>
  <si>
    <t>Extraction, purification d'acides nucléiques - - Hybridation moléculaire ("puce à ADN", CGH array)</t>
  </si>
  <si>
    <t>27315 v1</t>
  </si>
  <si>
    <t>BM GC03</t>
  </si>
  <si>
    <t>CGH array sur Liquide Amniotique</t>
  </si>
  <si>
    <t>Culture cellulaire éventuelle, extraction, purification d'acides nucléiques - - Hybridation moléculaire ("puce à ADN", CGH array)</t>
  </si>
  <si>
    <t>CGH array sur Placenta</t>
  </si>
  <si>
    <t>Placenta</t>
  </si>
  <si>
    <t>CGH array sur Villosités Choriales (Trophoblastes)</t>
  </si>
  <si>
    <t>DPNI</t>
  </si>
  <si>
    <t xml:space="preserve">Culture cellulaire éventuelle, extraction, purification d'acides nucléiques, avec ou sans amplification (PCR, …) 
Séquençage à Haut débit 
et Traitement bioinformatique </t>
  </si>
  <si>
    <t>27692 v4</t>
  </si>
  <si>
    <t>Génétique</t>
  </si>
  <si>
    <t xml:space="preserve">Recherche de réarrangements génomiques (QMPSF) </t>
  </si>
  <si>
    <t>Qualitatif </t>
  </si>
  <si>
    <t>Bioanalyseur 3500 Genetic Analyzer </t>
  </si>
  <si>
    <t>Amyotrophie Spinale Infantile : Analyse des gènes SMN1 et SMN3</t>
  </si>
  <si>
    <t>Recherche de réarrangements génomiques (PCR digitale)</t>
  </si>
  <si>
    <t>QX200 (Bio-Rad, Hercules, CA, USA)</t>
  </si>
  <si>
    <t>38897 v1</t>
  </si>
  <si>
    <t>Hôpital Charles Nicolle</t>
  </si>
  <si>
    <t>TEST CIBLE CNV EN ONCOGENETIQUE</t>
  </si>
  <si>
    <t>Bioanalyseur 3500 Genetic Analyzer</t>
  </si>
  <si>
    <t>16885 V4
31712 v1</t>
  </si>
  <si>
    <t>MLPA</t>
  </si>
  <si>
    <t>30933 v3
30932 v2
30929 v3
27438 v2
33369 v2
33370 v2
36967 V1</t>
  </si>
  <si>
    <t>Maladie d'Alzheimer autosomique dominante : recherche de duplication du gène APP par MLPA</t>
  </si>
  <si>
    <t>Sang / ADN</t>
  </si>
  <si>
    <t>36194 v3</t>
  </si>
  <si>
    <t>Calcifications cérébrales primaires: recherche de remaniement du gène SLC20A2 par QMPSF</t>
  </si>
  <si>
    <t>36991 V1</t>
  </si>
  <si>
    <t>Calcifications cérébrales primaires: recherche de remaniement du gène PDGFB par QMPSF</t>
  </si>
  <si>
    <t>36972 V1</t>
  </si>
  <si>
    <t>Cf Calcifications cérébrales primaires: recherche de remaniement du gène SLC20A2 par QMPSF</t>
  </si>
  <si>
    <t>TEST CIBLE SANGER EN ONCOGENETIQUE</t>
  </si>
  <si>
    <t>Séquençage Sanger</t>
  </si>
  <si>
    <t>7021 V7</t>
  </si>
  <si>
    <t>Formes autosomiques dominantes de maladie d'Alzheimer: Séquencage Sanger des gènes PSEN1, PSEN2 et APP </t>
  </si>
  <si>
    <t>Calcifications cérébrales primaires: Séquencage Sanger des gènes SLC20A2, PDGFB, PDGFRB et XPR1 </t>
  </si>
  <si>
    <t>TEST CIBLE SANGER NEURO</t>
  </si>
  <si>
    <t xml:space="preserve">Quantification du nombre de répétitions CGG au locus FRAXA pour le diagnostic du syndrome de l’X-Fragile, FXTAS et FXPOI </t>
  </si>
  <si>
    <t xml:space="preserve">Analyse de taille de fragments fluorescents par PCR multiplex et par RP-PCR </t>
  </si>
  <si>
    <t>27403 v3
27404 v3</t>
  </si>
  <si>
    <t>Recherche de délétion homozygote du gène SMN1 pour le diagnostic de la SMA</t>
  </si>
  <si>
    <t>Introduction d'un mésappariement dans l’amorce reverse de la PCR qui s’hybride sur l’exon 7 (X7-Dra). L’amorce se termine juste avant la position c.840 qui distingue SMN1 et SMN2 (C sur SMN1 et T sur SMN2). Le mésappariement permet la création d’un site de restriction DraI (TTTAAA) exclusivement dans le produit amplifié issu du gène SMN2. Puis migration sur gel d’agarose du produit de digestion.</t>
  </si>
  <si>
    <t>Thermocycleur : ABI 9700 Alu ou 9700 or1 ou 9700 or2 ou Proflex1
Transilluminateur UV
Cuve électrophorèse</t>
  </si>
  <si>
    <t>33024 v2</t>
  </si>
  <si>
    <t>Diagnostic moléculaire du syndrome de Prader-Willi</t>
  </si>
  <si>
    <t>Sang/ ADN</t>
  </si>
  <si>
    <t>Etude de l'empreinte par analyse de taille de fragments après PCR Methyl spécifique</t>
  </si>
  <si>
    <t>semi-automatisée</t>
  </si>
  <si>
    <t>Bioanalyseur 3500</t>
  </si>
  <si>
    <t>30325 V3</t>
  </si>
  <si>
    <t>BM GC05</t>
  </si>
  <si>
    <t>Diagnostic moléculaire du syndrome d'Angelman</t>
  </si>
  <si>
    <t>Diagnostic moléculaire en NGS des prédispositions héréditaires au cancer : analyse des gènes (MLH1, EPCAM, MSH2, MSH6, PMS2, POLE, POLD1, APC, MUTYH, SMAD4, BMPR1A, STK11, PTEN, BRCA1, BRCA2, PALB2, RAD51C, RAD51D, CDH1, TP53)</t>
  </si>
  <si>
    <t>30396 V4</t>
  </si>
  <si>
    <t>Dosage de l'hémoglobine A, A2, F et S par CLHP et mise en évidence d’hémoglobines anormales</t>
  </si>
  <si>
    <t>Chromatographie Liquide Haute Performance avec détection par spectrophotomètrie</t>
  </si>
  <si>
    <t>BIORAD Variant II</t>
  </si>
  <si>
    <t>Dosage de la PK</t>
  </si>
  <si>
    <t>sang</t>
  </si>
  <si>
    <t>Cinétique enzymatique par spectrophotométrie</t>
  </si>
  <si>
    <t>Analytikjena/Specord 205/222A477</t>
  </si>
  <si>
    <t>Dosage de la G6PD</t>
  </si>
  <si>
    <t>Isoélectrofocalisation de l'hémoglobine sur gel d'agarose</t>
  </si>
  <si>
    <t>Détermination qualitative des fractions d’hémoglobine par migration d’un hémolysat sur un gel d’agarose contenant des ampholytes de pH 6-8 sur lequel est appliqué un courant électrique, permettant aux différentes hémoglobines de migrer jusqu’à leur point isoélectrique et formant une bande.</t>
  </si>
  <si>
    <t>Mise en évidence et dosage des hémoglobines anormales par électrophorèse capillaire</t>
  </si>
  <si>
    <t>Séparation des différentes hémoglobines présentes dans le sang total d'un individu par électrophorèse capillaire selon leur mobilité électrophorétique (pH basique du tampon, flux électroendosmose) et détection par spectrophotomètrie à 415 nm (code BB1 du SH INF 50).</t>
  </si>
  <si>
    <t>Capillarys 3 Octa, Sebia</t>
  </si>
  <si>
    <t>Antithrombine, antigène</t>
  </si>
  <si>
    <t>Antithrombine, activité</t>
  </si>
  <si>
    <t>Technique Colorimétrique</t>
  </si>
  <si>
    <t>Facteur VII</t>
  </si>
  <si>
    <t>Facteur V</t>
  </si>
  <si>
    <t xml:space="preserve">Facteur II </t>
  </si>
  <si>
    <t>Facteur X</t>
  </si>
  <si>
    <t>Facteur XII</t>
  </si>
  <si>
    <t>STAR Max 3</t>
  </si>
  <si>
    <t>16830 V4</t>
  </si>
  <si>
    <t>Facteur XIII</t>
  </si>
  <si>
    <t>Dosage chromogénique</t>
  </si>
  <si>
    <t xml:space="preserve"> SYSMEX : CN 3500</t>
  </si>
  <si>
    <t>16829 V4</t>
  </si>
  <si>
    <t>Facteur VIII chromogénique</t>
  </si>
  <si>
    <t>31189 v2</t>
  </si>
  <si>
    <t>Monomères de fibrine</t>
  </si>
  <si>
    <t>Protéine C, activité amydolitique</t>
  </si>
  <si>
    <t>Dosage Chromogénique</t>
  </si>
  <si>
    <t>SYSMEX :
CN 3500</t>
  </si>
  <si>
    <t>Protéine S, activité</t>
  </si>
  <si>
    <t>Dosage Chronométrique</t>
  </si>
  <si>
    <t>Protéine C, activité</t>
  </si>
  <si>
    <t>Activité anti-Xa Arixtra</t>
  </si>
  <si>
    <t>BM CB03</t>
  </si>
  <si>
    <t>NA RIHN</t>
  </si>
  <si>
    <t>Activité anti-Xa Orgaran</t>
  </si>
  <si>
    <t>Activité anti-Xa Héparine</t>
  </si>
  <si>
    <t>Activité anti-Xa HBPM</t>
  </si>
  <si>
    <t>Activité anti-Xa Apixaban (Eliquis)</t>
  </si>
  <si>
    <t>Activité anti-Xa  Xarelto</t>
  </si>
  <si>
    <t>DRVVT Recherche d'anticoagulants circulants sur temps de venin de vipère russel dilué</t>
  </si>
  <si>
    <t>Méthode chronométrique</t>
  </si>
  <si>
    <t>ACCCK Recherche d'anticoagulants circulants sur TCA sensibilisé</t>
  </si>
  <si>
    <r>
      <t>30527</t>
    </r>
    <r>
      <rPr>
        <sz val="10"/>
        <color rgb="FF00B0F0"/>
        <rFont val="Calibri"/>
        <family val="2"/>
        <scheme val="minor"/>
      </rPr>
      <t xml:space="preserve"> v2</t>
    </r>
  </si>
  <si>
    <t>ADAMTS 13 activité</t>
  </si>
  <si>
    <t>Méthode ELISA Chromogénique</t>
  </si>
  <si>
    <t>lecture des DO sur Biomek 4000 (Beckman coulter)</t>
  </si>
  <si>
    <t>28496 v1</t>
  </si>
  <si>
    <t>BM CB06</t>
  </si>
  <si>
    <t>ADAMTS 13 inhibiteur (anti protéase willebrand)</t>
  </si>
  <si>
    <t>28494 v1</t>
  </si>
  <si>
    <t>Immunologie</t>
  </si>
  <si>
    <t>Allergie (ALLERGBM)</t>
  </si>
  <si>
    <t xml:space="preserve">Allergologie IgE spécifiques </t>
  </si>
  <si>
    <t>FEIA</t>
  </si>
  <si>
    <t>UNICAP 250, Phadia</t>
  </si>
  <si>
    <t>16855 v3
liste allergènes réf 28941</t>
  </si>
  <si>
    <t>BM AB01</t>
  </si>
  <si>
    <t>Allergologie IgE totaux</t>
  </si>
  <si>
    <t>13314 v4</t>
  </si>
  <si>
    <t>Tryptases</t>
  </si>
  <si>
    <t>Enzymatique et Immuno-enzymatique</t>
  </si>
  <si>
    <t>UNICAP 250</t>
  </si>
  <si>
    <t>16856 v3</t>
  </si>
  <si>
    <t>BM AB03</t>
  </si>
  <si>
    <t>Auto-immunité (AUTOIMMUNOBM)</t>
  </si>
  <si>
    <t>Anticorps des myosites</t>
  </si>
  <si>
    <t>Immunodot</t>
  </si>
  <si>
    <t>EuroblotMaster
EuroblotOne</t>
  </si>
  <si>
    <t>28434 v4</t>
  </si>
  <si>
    <t>BM AI01</t>
  </si>
  <si>
    <t>Anticorps anti-BP180 (BPAG2)</t>
  </si>
  <si>
    <t>ELISA</t>
  </si>
  <si>
    <t>EVOLIS, Biorad</t>
  </si>
  <si>
    <t>14348 v2</t>
  </si>
  <si>
    <t>Anticorps anti-CCP</t>
  </si>
  <si>
    <t>UNICAP 250, Phadia-Thermo Fischer</t>
  </si>
  <si>
    <t>Anticorps anti-desmogléine 1</t>
  </si>
  <si>
    <t>14345 v3</t>
  </si>
  <si>
    <t>Anticorps anti-saccharomyces cerevisiae IgG</t>
  </si>
  <si>
    <t>Anticorps anti-tissus transglutaminase IgA</t>
  </si>
  <si>
    <t>Anticorps anti-membrane basale glomérulaire</t>
  </si>
  <si>
    <t>Chimioluminescence
et
FEIA</t>
  </si>
  <si>
    <t>BIOFLASH, Inova
et
UNICAP 250, Phadia-Thermo Fischer</t>
  </si>
  <si>
    <t>Anticorps anti-saccharomyces cerevisiae IgA</t>
  </si>
  <si>
    <t>Anticorps anti-thyroperoxydase</t>
  </si>
  <si>
    <t>UNICAP 250, Phadia- Thermo Fischer</t>
  </si>
  <si>
    <t>Anticorps anti-ADN double brin</t>
  </si>
  <si>
    <t>Anticorps anti-myéloperoxydase</t>
  </si>
  <si>
    <t xml:space="preserve">Anticorps anti-nucléaire </t>
  </si>
  <si>
    <t>Immunofluorescence Indirecte</t>
  </si>
  <si>
    <t>PhD Biorad</t>
  </si>
  <si>
    <t xml:space="preserve">8220 v5
</t>
  </si>
  <si>
    <t>Anticorps anti-BP230 (BPAG1)</t>
  </si>
  <si>
    <t>14347 v2</t>
  </si>
  <si>
    <t>Anticorps anti-thyroglobuline</t>
  </si>
  <si>
    <t>Anticorps anti-desmogléine 3</t>
  </si>
  <si>
    <t>14346 v2</t>
  </si>
  <si>
    <t xml:space="preserve">Anticorps anti-protéinase3
</t>
  </si>
  <si>
    <t xml:space="preserve">BIOFLASH, Inova
et
UNICAP 250, Phadia-Thermo Fischer
</t>
  </si>
  <si>
    <t xml:space="preserve">Anticorps anti-épiderme en IFI </t>
  </si>
  <si>
    <t>16533 v2</t>
  </si>
  <si>
    <t>Anticorps anti-antigène nucléaire soluble (anti-RO52, anti-RO60, anti-SSB, anti-Sm, anti-RNP, anti-JO1, anti-Scl70)</t>
  </si>
  <si>
    <t>Chimioluminescence</t>
  </si>
  <si>
    <t xml:space="preserve">BIOFLASH, Inova
</t>
  </si>
  <si>
    <t>24015 v1
24016 v1
24017 v1
24018 v1
24020 v1
24021 v1
24022 v1
24023 v1</t>
  </si>
  <si>
    <t>Dépistage: 2318
Identifications: 562</t>
  </si>
  <si>
    <t>Anticorps anti-cardiolipine IgG</t>
  </si>
  <si>
    <t>14339 v3</t>
  </si>
  <si>
    <t>Anticorps anti-cardiolipine IgM</t>
  </si>
  <si>
    <t>14340 v3</t>
  </si>
  <si>
    <t>Anticorps anti-béta2 glycoprotéine 1 IgG</t>
  </si>
  <si>
    <t>14341 v3</t>
  </si>
  <si>
    <t>Anticorps anti-béta2 glycoprotéine 1 IgM</t>
  </si>
  <si>
    <t>14342 v3</t>
  </si>
  <si>
    <t xml:space="preserve">Anticorps anti-centromère  </t>
  </si>
  <si>
    <t>24025 v1</t>
  </si>
  <si>
    <t>Anticorps anti-ribosome</t>
  </si>
  <si>
    <t>24024 v1</t>
  </si>
  <si>
    <t>Anticoprs anti-HMGCR</t>
  </si>
  <si>
    <t>22272 v2</t>
  </si>
  <si>
    <t xml:space="preserve">PhD Biorad </t>
  </si>
  <si>
    <t>Anticorps anti-membrane basale en IFI sur peau clivée</t>
  </si>
  <si>
    <t>27967 v1</t>
  </si>
  <si>
    <t>Anticorps anti-collagène VII</t>
  </si>
  <si>
    <t>27303 v1</t>
  </si>
  <si>
    <t>Anticorps anti-envoplakine</t>
  </si>
  <si>
    <t>28173 v1</t>
  </si>
  <si>
    <t xml:space="preserve">Anticorps anti-peau en immunoblot sur extrait épidermique </t>
  </si>
  <si>
    <t>Immunoblot</t>
  </si>
  <si>
    <t>3 et 1</t>
  </si>
  <si>
    <t>Easy blot , EuroblotMaster</t>
  </si>
  <si>
    <t>30474 v5</t>
  </si>
  <si>
    <t xml:space="preserve">Anticorps anti-peau en immunoblot sur extrait dermique </t>
  </si>
  <si>
    <t>3, 1 et 1</t>
  </si>
  <si>
    <t>Easy blot, EuroblotMaster / Odyssey CLx, LI-COR</t>
  </si>
  <si>
    <t>30474 v1</t>
  </si>
  <si>
    <t>FEIA (Fluorescent Enzyme ImmunoAssay)</t>
  </si>
  <si>
    <t>Parasitologie</t>
  </si>
  <si>
    <t>Examen parasitologique des selles</t>
  </si>
  <si>
    <t>Selles</t>
  </si>
  <si>
    <t>Examen direct sur selles fraiches ou fixées dans le MIF et examen après concentration</t>
  </si>
  <si>
    <t>Microscope</t>
  </si>
  <si>
    <t>10728 v4</t>
  </si>
  <si>
    <t>Pharmaco -Toxicologie</t>
  </si>
  <si>
    <t>Génotypage TPMT</t>
  </si>
  <si>
    <t>PCR en temps réel (RT-PCR) avec détection de fluorescence, chimie TaqMan</t>
  </si>
  <si>
    <t>Thermocycleur avec détection de fluorescence en temps réel</t>
  </si>
  <si>
    <t>22194 v4</t>
  </si>
  <si>
    <t>Génotypage CYP3A5</t>
  </si>
  <si>
    <t>18507 v5</t>
  </si>
  <si>
    <t>Virologie</t>
  </si>
  <si>
    <t>Neisseria gonorrhoeae - détection ADN</t>
  </si>
  <si>
    <t>Endocervicaux ou vaginaux, échantillons urétraux, urines</t>
  </si>
  <si>
    <t>Détection d'acides nucléiques, après extraction et purification (PCR, hybridation, …) – Biologie moléculaire</t>
  </si>
  <si>
    <t>Panther Hologic</t>
  </si>
  <si>
    <t>16707 v5</t>
  </si>
  <si>
    <t>Chlamydia trachomatis - détection ADN</t>
  </si>
  <si>
    <t>idem Neisseria gonorrhoea</t>
  </si>
  <si>
    <t>Chlamydia trachomatis - serovar L</t>
  </si>
  <si>
    <t>écouvillons anaux</t>
  </si>
  <si>
    <t>EZ1 (Qiagen)+ CFX96 (Biorad)</t>
  </si>
  <si>
    <t>CMV Sérologie (IgG - immunité)</t>
  </si>
  <si>
    <t>Sérum</t>
  </si>
  <si>
    <t>2 modules</t>
  </si>
  <si>
    <t>13816 v6</t>
  </si>
  <si>
    <t>CMV Sérologie (IgM - dépistage infection)</t>
  </si>
  <si>
    <t>13815 v5</t>
  </si>
  <si>
    <t>Rubéole Sérologie (IgG - immunité)</t>
  </si>
  <si>
    <t>14930 v4</t>
  </si>
  <si>
    <t>Rubéole Sérologie (IgM - dépistage infection)</t>
  </si>
  <si>
    <t>1 module</t>
  </si>
  <si>
    <t>14931 v4</t>
  </si>
  <si>
    <t>VIH Sérologie (dépistage infection)</t>
  </si>
  <si>
    <t>12785 v5</t>
  </si>
  <si>
    <t>VIH Sérologie (dépistage infection technique alternative)</t>
  </si>
  <si>
    <t>EIA</t>
  </si>
  <si>
    <t>Vidas (Biomérieux)</t>
  </si>
  <si>
    <t>14059 version 3</t>
  </si>
  <si>
    <t>HTLV Sérologie (dépistage infection)</t>
  </si>
  <si>
    <t>13797 version 5</t>
  </si>
  <si>
    <t>Hépatite A Sérologie (IgG - immunité)</t>
  </si>
  <si>
    <t>13485 version 5</t>
  </si>
  <si>
    <t>Hépatite A Sérologie (IgM - dépistage infection)</t>
  </si>
  <si>
    <t>13486 version 5</t>
  </si>
  <si>
    <t>Hépatite B Sérologie (Antigène HBs - dépistage infection)</t>
  </si>
  <si>
    <t>14876 version 4</t>
  </si>
  <si>
    <t>Hépatite B - Séroneutralisation de l'antigène HBs</t>
  </si>
  <si>
    <t>chemiluminescence (CMIA)</t>
  </si>
  <si>
    <t>Hépatite B Sérologie (Ac anti-HBs - immunité)</t>
  </si>
  <si>
    <t>14924 version 4</t>
  </si>
  <si>
    <t>Hépatite B Sérologie (Antigène HBe - suivi infection)</t>
  </si>
  <si>
    <t>14927 version 4</t>
  </si>
  <si>
    <t>Hépatite B Sérologie (Ac anti-HBe - suivi infection)</t>
  </si>
  <si>
    <t>14928 version 4</t>
  </si>
  <si>
    <t>Hépatite B Sérologie (Ac totaux anti-HBc - dépistage infection)</t>
  </si>
  <si>
    <t>14925 version 4</t>
  </si>
  <si>
    <t>Hépatite B Sérologie (IgM anti-HBc - dépistage infection)</t>
  </si>
  <si>
    <t>14926 version 4</t>
  </si>
  <si>
    <t>Hépatite C Sérologie (dépistage infection)</t>
  </si>
  <si>
    <t>13265 version 5</t>
  </si>
  <si>
    <t>EBV Sérologie (IgG anti-EBNA - immunité)</t>
  </si>
  <si>
    <t>20770 v2</t>
  </si>
  <si>
    <t>EBV Sérologie (IgG anti-VCA - dépistage infection)</t>
  </si>
  <si>
    <t>20769 v2</t>
  </si>
  <si>
    <t>EBV Sérologie (IgM anti-VCA - dépistage infection)</t>
  </si>
  <si>
    <t>20768 v2</t>
  </si>
  <si>
    <t>Hépatite C sérologie (confirmation infection)</t>
  </si>
  <si>
    <t>Vidas</t>
  </si>
  <si>
    <t>23827 v1</t>
  </si>
  <si>
    <t>CMV avidité</t>
  </si>
  <si>
    <t>Immuno-enzymatique (ELISA et dérivées)</t>
  </si>
  <si>
    <t>16553 v3</t>
  </si>
  <si>
    <t>SARS-CoV-2 quantitatif</t>
  </si>
  <si>
    <t>35921 v1</t>
  </si>
  <si>
    <t>Parvovirus IgG</t>
  </si>
  <si>
    <t>Liaison XL Diasorin</t>
  </si>
  <si>
    <t>29106 v3</t>
  </si>
  <si>
    <t>Parvovirus IgM</t>
  </si>
  <si>
    <t>29107 v3</t>
  </si>
  <si>
    <t>Oreillons IgG</t>
  </si>
  <si>
    <t>29257 v1</t>
  </si>
  <si>
    <t>Oreillons IgM</t>
  </si>
  <si>
    <t>29256 v1</t>
  </si>
  <si>
    <t>HSV-1 IgG</t>
  </si>
  <si>
    <t>29075 v2</t>
  </si>
  <si>
    <t>HSV-2 IgG</t>
  </si>
  <si>
    <t>Immunoluminométrie (CLIA)</t>
  </si>
  <si>
    <t>29076 v2</t>
  </si>
  <si>
    <t>VZV IgG</t>
  </si>
  <si>
    <t>Rougeole IgG</t>
  </si>
  <si>
    <t>29239 v2</t>
  </si>
  <si>
    <t>Rougeole IgM</t>
  </si>
  <si>
    <t>29237 v2</t>
  </si>
  <si>
    <t>Sérologie Hépatite delta</t>
  </si>
  <si>
    <t>32369 v1</t>
  </si>
  <si>
    <t xml:space="preserve">Rotavirus et Adénovirus : Test de détection rapide dans les selles </t>
  </si>
  <si>
    <t>Immunochromatographie</t>
  </si>
  <si>
    <t>10355 version 3</t>
  </si>
  <si>
    <t>Virologie Spécialisée (VIROH)</t>
  </si>
  <si>
    <t>PCR Parvovirus</t>
  </si>
  <si>
    <t>Sang, moelle osseuse, liquide amniotique, sang fœtal</t>
  </si>
  <si>
    <t>Détection d'acides nucléiques avec ou sans amplification, après extraction et purification (hybridation, PCR, …) – Biologie moléculaire</t>
  </si>
  <si>
    <t>Quantitatif et/ou qualitatif</t>
  </si>
  <si>
    <t>Altostar (Altona)</t>
  </si>
  <si>
    <t>22854 v3</t>
  </si>
  <si>
    <t>BM VB01</t>
  </si>
  <si>
    <t>Charge virale HHV6</t>
  </si>
  <si>
    <t>Sang, 
LCR, prélèvement respiratoire, biopsies, LBA, moelle</t>
  </si>
  <si>
    <t>23541 v3</t>
  </si>
  <si>
    <t>Charge virale adenovirus</t>
  </si>
  <si>
    <t>Sang, LCR, moelle, LBA, prélèvements respiratoires, surnageant de selles, écouvillons oculaires, humeur aqueuse, biopsies</t>
  </si>
  <si>
    <t>14004 v5</t>
  </si>
  <si>
    <t>Protéine C, antigène</t>
  </si>
  <si>
    <t>BIOMERIEUX Vidas 3</t>
  </si>
  <si>
    <t>28268 v1</t>
  </si>
  <si>
    <t>TCK Temps de Céphaline-Kaolin</t>
  </si>
  <si>
    <t>Mesure chronométrique par viscométrie</t>
  </si>
  <si>
    <t xml:space="preserve">Protéine S totale, antigène </t>
  </si>
  <si>
    <t>Immunoenzymatique</t>
  </si>
  <si>
    <t>Diasorin ETIMAX 3000</t>
  </si>
  <si>
    <t>28464 v1</t>
  </si>
  <si>
    <t>Protéine S libre, antigène</t>
  </si>
  <si>
    <t>28471 v1</t>
  </si>
  <si>
    <t>Facteur XI</t>
  </si>
  <si>
    <t>Facteur IX</t>
  </si>
  <si>
    <t>Facteur VIII</t>
  </si>
  <si>
    <t>Recherche et  titrage des anti-facteurs de la coagulation</t>
  </si>
  <si>
    <t>Méthode chronométrique ou chromogénique</t>
  </si>
  <si>
    <t>Facteur Willebrand antigène</t>
  </si>
  <si>
    <t>Dosage turbidimétrique</t>
  </si>
  <si>
    <t>16129 V2</t>
  </si>
  <si>
    <t>Facteur Willebrand activité GP1b (Innovance)</t>
  </si>
  <si>
    <t>28503 v2</t>
  </si>
  <si>
    <t>Plasminogène, activité</t>
  </si>
  <si>
    <t>16833 v4</t>
  </si>
  <si>
    <t xml:space="preserve">BM CB07 </t>
  </si>
  <si>
    <t>Mutation G20210A du facteur II</t>
  </si>
  <si>
    <t>PCR temps réel avec détection de fluorescence</t>
  </si>
  <si>
    <t>Automate: 7500 Fast Real-Time PCR System (Applied Biosystems®, ref 4351107)</t>
  </si>
  <si>
    <t>28665 v2</t>
  </si>
  <si>
    <t>Mutation Leiden du facteur V</t>
  </si>
  <si>
    <t>28666 v2</t>
  </si>
  <si>
    <t>Réticulocytes méthode automatisée</t>
  </si>
  <si>
    <t>Mesure par cytométrie de flux de la fluorescence de l'ARN des réticulocytes.</t>
  </si>
  <si>
    <t xml:space="preserve">SYSMEX XN10 </t>
  </si>
  <si>
    <t>Réticulocytes méthode manuelle</t>
  </si>
  <si>
    <t>Identification morphologique des réticulocytes
après coloration au bleu de crésyl par
microscopie optique. Identification au
microscope (à l’aide d’un oculaire quadrillé : le
réticule) des réticulocytes colorés au bleu de
crésyl qui colore et précipite l'ARN.</t>
  </si>
  <si>
    <t>27652 v2</t>
  </si>
  <si>
    <t>cf réticulocytes automatisés</t>
  </si>
  <si>
    <t>Plaquettes à l'hématimètre</t>
  </si>
  <si>
    <t>Compte des Plaquettes en chambre de comptage en microscopie optique</t>
  </si>
  <si>
    <t>14859 v3</t>
  </si>
  <si>
    <t>Globules Blancs à l'hématimètre</t>
  </si>
  <si>
    <t>Compte des Globules blancs en chambre de comptage en microscopie optique</t>
  </si>
  <si>
    <t>14897 v2</t>
  </si>
  <si>
    <t>Recherche de cellules de sézary</t>
  </si>
  <si>
    <t>Recherche de cellules de sézary sur frottis sanguin</t>
  </si>
  <si>
    <t>Recherche de lymphocytes vacuolés</t>
  </si>
  <si>
    <t>Recherche de lymphocytes vacuolés sur frottis sanguin</t>
  </si>
  <si>
    <t>Recherche d'hématies ponctuées</t>
  </si>
  <si>
    <t>Recherche au microscope d'hématies contenant des granulations basophiles.</t>
  </si>
  <si>
    <t>Recherche de Tricholeucocytes</t>
  </si>
  <si>
    <t>Recherche de cellules atypiques sur frottis sanguin.</t>
  </si>
  <si>
    <t>Hémoglobine plasmatique</t>
  </si>
  <si>
    <t xml:space="preserve">SYSMEX XN10; </t>
  </si>
  <si>
    <t>Dépistage de la Sphérocytose - test à l'EMA</t>
  </si>
  <si>
    <t>Mesure de l’intensité de fluorescence de l’éosine-5-maléimide, qui se lie de façon covalente à la protéine band 3, par cytométrie en flux.</t>
  </si>
  <si>
    <t>Cytomètre de flux</t>
  </si>
  <si>
    <t>36319 v1</t>
  </si>
  <si>
    <t>BM HB06</t>
  </si>
  <si>
    <t>Dépistage de la Sphérocytose - test de fragilité osmotique</t>
  </si>
  <si>
    <t>Décompte par cytométrie en flux du nombre de globules rouges avant et après ajout d’eau distillée.</t>
  </si>
  <si>
    <t>Typage des hémopathies (sang)</t>
  </si>
  <si>
    <t>Quantification d'un signal lumineux</t>
  </si>
  <si>
    <t>22296 v10</t>
  </si>
  <si>
    <t>Numération des CD34</t>
  </si>
  <si>
    <t>26279 v7</t>
  </si>
  <si>
    <t>Immunophénotypage des hémopathies - méthode qualitative avec myélopéroxydase</t>
  </si>
  <si>
    <t>sang total, moelle, liquide céphalo-rachidien, ascite, pleural, liquide péricardique, liquide broncho-alvéolaire, ganglion, biopsie</t>
  </si>
  <si>
    <t xml:space="preserve"> cytométrie en flux (détection d'un signal lumineux)</t>
  </si>
  <si>
    <t>38426 v1</t>
  </si>
  <si>
    <t>Immunologie cellulaire (ICELHISTOBM)</t>
  </si>
  <si>
    <t>Phenotypage des lymphocytes T CD4+ et CD8+</t>
  </si>
  <si>
    <t>cytométrie en flux determination de la valeur absolue par calcul à partir de la numération formule sanguine</t>
  </si>
  <si>
    <t>quantitatif</t>
  </si>
  <si>
    <t>automatisée</t>
  </si>
  <si>
    <t>Navios (Beckman Coulter)</t>
  </si>
  <si>
    <t>16582 v2</t>
  </si>
  <si>
    <t>BM IC01</t>
  </si>
  <si>
    <t>cytométrie en flux determination de la valeur absolue à partir de billes de calibration</t>
  </si>
  <si>
    <t>voir ligne 473</t>
  </si>
  <si>
    <t>Recherche d'antigènes aspergillaires</t>
  </si>
  <si>
    <t>détection immuno-enzymatique</t>
  </si>
  <si>
    <t>28397 v1</t>
  </si>
  <si>
    <t>Réalisation d'antifongigrammes</t>
  </si>
  <si>
    <t>culture fongique</t>
  </si>
  <si>
    <t>e test</t>
  </si>
  <si>
    <t>manuelle</t>
  </si>
  <si>
    <t>17050 v3</t>
  </si>
  <si>
    <t>Pharmacologie-Toxicologie (PHARMACOSTPBM-TOXICOBM)</t>
  </si>
  <si>
    <t xml:space="preserve">Amikacine </t>
  </si>
  <si>
    <t>Immunodosage en phase homogène (KIMS)</t>
  </si>
  <si>
    <t>BM PT01</t>
  </si>
  <si>
    <t xml:space="preserve">Vancomycine </t>
  </si>
  <si>
    <t>Technique immunoenzymatique en phase homogène</t>
  </si>
  <si>
    <t xml:space="preserve">Tobramycine </t>
  </si>
  <si>
    <t>Gentamicine</t>
  </si>
  <si>
    <t>Technique immunoenzymatique CEDIA</t>
  </si>
  <si>
    <t>Carbamazépine</t>
  </si>
  <si>
    <t>Acide valproïque</t>
  </si>
  <si>
    <t>Phénytoïne</t>
  </si>
  <si>
    <t>Phénobarbital</t>
  </si>
  <si>
    <t>Lithium</t>
  </si>
  <si>
    <t xml:space="preserve">Technique colorimétrique automatisée </t>
  </si>
  <si>
    <t>Ethanol</t>
  </si>
  <si>
    <t>Méthode enzymatique</t>
  </si>
  <si>
    <t>26090 v2</t>
  </si>
  <si>
    <t>Digoxine</t>
  </si>
  <si>
    <t xml:space="preserve">Immunodosage en phase homogène (KIMS) </t>
  </si>
  <si>
    <t>Teicoplanine</t>
  </si>
  <si>
    <t>Immunodosage en phase homogène</t>
  </si>
  <si>
    <t>Salicylés</t>
  </si>
  <si>
    <t xml:space="preserve">Technique enzymatique </t>
  </si>
  <si>
    <t>Paracétamol</t>
  </si>
  <si>
    <t xml:space="preserve">Technique immunoenzymatique </t>
  </si>
  <si>
    <t>Méthotrexate</t>
  </si>
  <si>
    <t xml:space="preserve">Méthode immunoenzymatique EMIT </t>
  </si>
  <si>
    <t>Opiacés urinaires</t>
  </si>
  <si>
    <t>Immunodosage par technique KIMS</t>
  </si>
  <si>
    <t>26243 v2</t>
  </si>
  <si>
    <t>Méthadone urinaire</t>
  </si>
  <si>
    <t>26241 v1</t>
  </si>
  <si>
    <t>Cocaïne urinaire</t>
  </si>
  <si>
    <t>Ciclosporine</t>
  </si>
  <si>
    <t xml:space="preserve">Méthode immunoenzymatique CEDIA  </t>
  </si>
  <si>
    <t>Cannabis urinaire</t>
  </si>
  <si>
    <t>26238 v1</t>
  </si>
  <si>
    <t>Amphétamines urinaires</t>
  </si>
  <si>
    <t>Antidépresseurs tricycliques</t>
  </si>
  <si>
    <t>32306 v1</t>
  </si>
  <si>
    <t>Benzodiazépines</t>
  </si>
  <si>
    <t>sang et urines</t>
  </si>
  <si>
    <t>32187 v1</t>
  </si>
  <si>
    <t>Sirolimus</t>
  </si>
  <si>
    <t xml:space="preserve">Déprotéinisation et Chromatographie liquide haute performance (CHLP) avec détection par spectrométrie de masse en tandem
</t>
  </si>
  <si>
    <t>HPLC/MS-MS</t>
  </si>
  <si>
    <t>15022 v1</t>
  </si>
  <si>
    <t>BM PT03</t>
  </si>
  <si>
    <t>Everolimus</t>
  </si>
  <si>
    <t>15023 v1</t>
  </si>
  <si>
    <t>Mycophénolate</t>
  </si>
  <si>
    <t>12286 v2</t>
  </si>
  <si>
    <t>Tacrolimus</t>
  </si>
  <si>
    <t>15021 v1</t>
  </si>
  <si>
    <t xml:space="preserve">Rifampicine </t>
  </si>
  <si>
    <t xml:space="preserve">Déproptéinisation et chromatographie liquide haute performance (CHLP) avec détection par spectrométrie de masse en tandem </t>
  </si>
  <si>
    <t>15019 v2</t>
  </si>
  <si>
    <t>Amoxicilline</t>
  </si>
  <si>
    <t>Analyse par chromatographie liquide couplée à la spectrométrie de masse en tandem (HPLC-MS/MS)</t>
  </si>
  <si>
    <t>Système HPLC Shimadzu® couplé à un spectromètre de masse en tandem 4500 Qtrap (ABSciex®).</t>
  </si>
  <si>
    <t>28145 v1</t>
  </si>
  <si>
    <t>Clozapine</t>
  </si>
  <si>
    <t>Méthode quantitative, déprotéinisation et séparation par chromatographique liquide haute performance (CLHP) avec détection par  spectrométrie de masse en tandem</t>
  </si>
  <si>
    <t>29764 v1</t>
  </si>
  <si>
    <t>Système HPLC Shimadzu® couplé à un spectromètre de masse ABSciex® 4000 QTRAP</t>
  </si>
  <si>
    <t>29765 v1</t>
  </si>
  <si>
    <t>cf 3200 QTRAP</t>
  </si>
  <si>
    <t>Isoniazide</t>
  </si>
  <si>
    <t>Chromatographie liquide haute performance (CLHP) avec détection par spectrophotométrie</t>
  </si>
  <si>
    <t>Système chromatographique Waters Acquity UPLC I-class PDA.</t>
  </si>
  <si>
    <t>30085 v1</t>
  </si>
  <si>
    <t>Pipéracilline</t>
  </si>
  <si>
    <t>chromatographie liquide couplée à la spectrométrie de masse en tandem (HPLC-MS/MS)</t>
  </si>
  <si>
    <t>31847 v1</t>
  </si>
  <si>
    <t>Céfépime</t>
  </si>
  <si>
    <t>31848 v1</t>
  </si>
  <si>
    <t>Céfotaxime</t>
  </si>
  <si>
    <t>31849 v1</t>
  </si>
  <si>
    <t>Ceftazidime</t>
  </si>
  <si>
    <t>32735 v1</t>
  </si>
  <si>
    <t>Ceftriaxone</t>
  </si>
  <si>
    <t>35450 v1</t>
  </si>
  <si>
    <t>Cloxacilline</t>
  </si>
  <si>
    <t>32714 v1</t>
  </si>
  <si>
    <t>Ertapénem</t>
  </si>
  <si>
    <t>32715 v1</t>
  </si>
  <si>
    <t>Lévofloxacine</t>
  </si>
  <si>
    <t>32716 v1</t>
  </si>
  <si>
    <t>Voriconazole</t>
  </si>
  <si>
    <t>32760 v1</t>
  </si>
  <si>
    <t>Cannabinoïdes (THC, THC-OH et THC-COOH)</t>
  </si>
  <si>
    <t>Chromatographie liquide haute performance (CHLP) avec détection par spectrométrie de masse en tandem (LC-MS/MS)</t>
  </si>
  <si>
    <t>27458 v1
27569 v1
27570 v1</t>
  </si>
  <si>
    <t>Screening toxicologique</t>
  </si>
  <si>
    <t>Plasma, urine, sang total</t>
  </si>
  <si>
    <t>Chromatographie liquide avec détection par spectrométrie de masse</t>
  </si>
  <si>
    <t>40649 V1</t>
  </si>
  <si>
    <t>Posaconazole</t>
  </si>
  <si>
    <t>32808 v1</t>
  </si>
  <si>
    <t>Biologie Médicolégale</t>
  </si>
  <si>
    <t>Toxicologie (TOXICOBM)</t>
  </si>
  <si>
    <t>ML TO03</t>
  </si>
  <si>
    <t>Chromatographie en phase gazeuse couplée à un détecteur à ionisation de flamme (CPG-FID)</t>
  </si>
  <si>
    <t>27457 v1</t>
  </si>
  <si>
    <t>ML TO04</t>
  </si>
  <si>
    <t>cf BM PT01</t>
  </si>
  <si>
    <t>VIH Sérologie (confirmation infection VIH-1)</t>
  </si>
  <si>
    <t>Western-blot</t>
  </si>
  <si>
    <t xml:space="preserve">16720 v1
</t>
  </si>
  <si>
    <t>Varicelle Zona (VZV) Sérologie (IgG - immunité - urgent)</t>
  </si>
  <si>
    <t xml:space="preserve">16301 v1
</t>
  </si>
  <si>
    <t>HTLV Sérologie (confirmation infection)</t>
  </si>
  <si>
    <t xml:space="preserve">16723 v1
</t>
  </si>
  <si>
    <t>VIH Sérologie (confirmation infection VIH-2)</t>
  </si>
  <si>
    <t xml:space="preserve">16721 v1
</t>
  </si>
  <si>
    <t xml:space="preserve">VIH-1 Charge Virale sur sang </t>
  </si>
  <si>
    <t>Détection d'acides nucléiques avec amplification, après extraction (PCR en temps réel) - Biologie moléculaire</t>
  </si>
  <si>
    <t>Détection d'acides nucléiques avec ou sans amplification, après extraction et purification (hybridation, PCR) Biologie moléculaire</t>
  </si>
  <si>
    <t>Charge virale BK virus</t>
  </si>
  <si>
    <t>26494 v5</t>
  </si>
  <si>
    <t>PCR Grippe VRS SARS-CoV-2</t>
  </si>
  <si>
    <t>écouvillons naso-pharyngés en milieu de transport viral 
LBA / ASPI NASO-PHARYNGEE</t>
  </si>
  <si>
    <t>Cepheid, GeneXpert</t>
  </si>
  <si>
    <t>36105 v3</t>
  </si>
  <si>
    <t>EBV Charge virale</t>
  </si>
  <si>
    <t>13281 V6</t>
  </si>
  <si>
    <t>Hépatite B Charge virale sur Sang</t>
  </si>
  <si>
    <t>Panther (Hologic)</t>
  </si>
  <si>
    <t>10707 V5</t>
  </si>
  <si>
    <t>CMV PCR sur liquides divers ou biopsies</t>
  </si>
  <si>
    <t>Urines, Biopsies, Liquides divers : LCR, amniotique, LBA</t>
  </si>
  <si>
    <t>Panther Fusion Hologic</t>
  </si>
  <si>
    <t>12450 V6</t>
  </si>
  <si>
    <t>cf ci-dessous</t>
  </si>
  <si>
    <t>CMV Charge virale sur sang</t>
  </si>
  <si>
    <t>12449 V6</t>
  </si>
  <si>
    <t>Hépatite C Charge virale sur Sang</t>
  </si>
  <si>
    <t>10384 V6</t>
  </si>
  <si>
    <t>VIH-1 Charge Virale sur sang ou le LCR</t>
  </si>
  <si>
    <t>10347 V7</t>
  </si>
  <si>
    <t>Entérovirus PCR sur liquide divers</t>
  </si>
  <si>
    <t xml:space="preserve">LCR, Liquide amniotique, Selles, Prélèvements respiratoires, Frottis cutané </t>
  </si>
  <si>
    <t>16803 V2</t>
  </si>
  <si>
    <t>VZV PCR sur sang ou liquide divers</t>
  </si>
  <si>
    <t>LCR, Liquide amniotique, Frottis cutané, sang</t>
  </si>
  <si>
    <t>16805 v3</t>
  </si>
  <si>
    <t>HSV PCR sur sang ou liquide divers</t>
  </si>
  <si>
    <t>16805 V3</t>
  </si>
  <si>
    <t>idem VZV</t>
  </si>
  <si>
    <t>JC virus PCR sur liquide divers</t>
  </si>
  <si>
    <t>Liquide céphalo-rachidien</t>
  </si>
  <si>
    <t>19973 V2</t>
  </si>
  <si>
    <t xml:space="preserve">VIH séquençage de résistance </t>
  </si>
  <si>
    <t>Cartographie d'acides nucléiques (séquençage, amplification, hybridation, …) – Biologie moléculaire</t>
  </si>
  <si>
    <t>CEQ 8000 (Beckman)</t>
  </si>
  <si>
    <t xml:space="preserve">VHC Charge Virale sur sang </t>
  </si>
  <si>
    <t>Charge virale VHB</t>
  </si>
  <si>
    <t>Détection d'acides nucléiques avec amplification, après extraction et purification (hybridation, PCR, …) – Biologie moléculaire</t>
  </si>
  <si>
    <t>Charge virale VIH-2</t>
  </si>
  <si>
    <t>CFX96 Deep Well™ de Bio-Rad (n° série : 790BR02361) et EZ1® Advanced XL de Qiagen (n° série : L151A1476)</t>
  </si>
  <si>
    <t>30257 v1</t>
  </si>
  <si>
    <t>PCR hépatite E</t>
  </si>
  <si>
    <t>40325 v1</t>
  </si>
  <si>
    <t>PCR HPV</t>
  </si>
  <si>
    <t xml:space="preserve">Détection d'acides nucléiques avec ou sans amplification, après extraction et purification (hybridation, PCR) Biologie moléculaire </t>
  </si>
  <si>
    <t>PCR Rougeole</t>
  </si>
  <si>
    <t>écouvillons gorges, salive, urine</t>
  </si>
  <si>
    <t>39422 v1</t>
  </si>
  <si>
    <t>CENTRE HOSPITALIER SAINT JULIEN</t>
  </si>
  <si>
    <t>Cobas Roche 6000</t>
  </si>
  <si>
    <t>St Julien : Roche Cobas module c501</t>
  </si>
  <si>
    <t>GEM 5000
(WERFEN)</t>
  </si>
  <si>
    <t>34241 v5</t>
  </si>
  <si>
    <t xml:space="preserve">BIOMERIEUX
Vidas N° IVD3001447 (SJU)
</t>
  </si>
  <si>
    <t>SYSMEX XN 550 (SJU)</t>
  </si>
  <si>
    <t>Diffraction optique en cytométrie de flux avec laser semi-conducteur et fluorescence</t>
  </si>
  <si>
    <t xml:space="preserve">SYSMEX XN 550 </t>
  </si>
  <si>
    <t>total activité accréditée</t>
  </si>
  <si>
    <t>total à accréditer 2020</t>
  </si>
  <si>
    <t xml:space="preserve">% activité </t>
  </si>
  <si>
    <t xml:space="preserve">Pôle B2P CHU de Rouen (8-3081) </t>
  </si>
  <si>
    <t>Liste détaillée des examens/analyses demandés à l'accréditation (réf 15081)</t>
  </si>
  <si>
    <t>Principe de la méthode 
(préciser l'identification de l'équipement si méthode automatisée et le nombre ou préciser méthode manuelle, ainsi que la technique mise en oeuvre)</t>
  </si>
  <si>
    <t xml:space="preserve">Remarque(ajout,
changement automate, 
changement de méthode, changement de réactif,…) </t>
  </si>
  <si>
    <t>portée A/B</t>
  </si>
  <si>
    <r>
      <t xml:space="preserve">Nombre actes réalisés </t>
    </r>
    <r>
      <rPr>
        <b/>
        <sz val="11"/>
        <color rgb="FF00B0F0"/>
        <rFont val="Calibri"/>
        <family val="2"/>
        <scheme val="minor"/>
      </rPr>
      <t>en 2023</t>
    </r>
  </si>
  <si>
    <r>
      <t xml:space="preserve">Génétique somatique </t>
    </r>
    <r>
      <rPr>
        <sz val="10"/>
        <color rgb="FF00B0F0"/>
        <rFont val="Calibri"/>
        <family val="2"/>
        <scheme val="minor"/>
      </rPr>
      <t>(GENSOBM)</t>
    </r>
  </si>
  <si>
    <t xml:space="preserve">Séquençage à Haut débit
et traitement bioinformatique
</t>
  </si>
  <si>
    <t>séquenceur massif parallèle : MiSeq Illumina</t>
  </si>
  <si>
    <t>AC GS02</t>
  </si>
  <si>
    <t>Test quantiféron : recherche de tuberculose latente</t>
  </si>
  <si>
    <t>serum</t>
  </si>
  <si>
    <t>Recherche d'IFN gamma en réponse à stimulation antigénique par immuno-chimiluminescence</t>
  </si>
  <si>
    <t>BM MG14</t>
  </si>
  <si>
    <t>Recherche de Clostridium difficile toxinogène</t>
  </si>
  <si>
    <t>selles ou colonies après culture</t>
  </si>
  <si>
    <t xml:space="preserve">Recherche et identification de toxines et
d’antigènes bactériens par immuno-chimiluminescence
</t>
  </si>
  <si>
    <t>BM BA01</t>
  </si>
  <si>
    <t xml:space="preserve">Hôpital Charles Nicolle </t>
  </si>
  <si>
    <t>Activités Biologiques d'AMP (AMPBIOBM)</t>
  </si>
  <si>
    <t>Recherche et identification des spermatozoïdes, volume, mobilité, concentration</t>
  </si>
  <si>
    <t>Sperme
Tissu testiculaire</t>
  </si>
  <si>
    <t xml:space="preserve">* Sperme éjaculé frais : Les spermatozoïdes sont obtenus par centrifugation et  migration sur gradient de macromolécules et lavage. La mobilité des spermatozoïdes est estimée par observation au microscope. La numération des spermatozoïdes est réalisée
à partir d'un hémocytomètre (cellule de Thoma)
* Spermatozoïdes congelés – décongelés : Les spermatozoïdes sont obtenus par centrifugation et  migration sur gradient de macromolécules et lavage. La mobilité des spermatozoïdes est estimée par observation au microscope. La numération des spermatozoïdes est réalisée
à partir d'un hémocytomètre (cellule de Thoma)
* Spermatozoïdes testiculaires : Les spermatozoïdes sont obtenus par dilacération mécanique du tissu testiculaire
</t>
  </si>
  <si>
    <t>Qualitatif et Quantitatif</t>
  </si>
  <si>
    <t>30339 v1</t>
  </si>
  <si>
    <t>nb actes hors 415 tentatives AMP comptabilisées ci-dessous</t>
  </si>
  <si>
    <t>BM AP1</t>
  </si>
  <si>
    <t>Identification de l'ovocyte, du zygote et de l’embryon (pronuclei, globules polaires, blastomères et fragments anucléés…)</t>
  </si>
  <si>
    <t>Ovocyte, zygote, embryon</t>
  </si>
  <si>
    <t>* Recueil des gamètes et mise fécondation
* Culture embryonnaire
* Congélation et décongélation des ovocytes et des embryons</t>
  </si>
  <si>
    <t>16827 v2</t>
  </si>
  <si>
    <t>BM AP3</t>
  </si>
  <si>
    <t>Quantitative</t>
  </si>
  <si>
    <t>Agrégation plaquettaire à l'héparine (TIH)</t>
  </si>
  <si>
    <t>Agglutination sur agrégomètre : Photométrie Haute résolution à 740 nm</t>
  </si>
  <si>
    <t>Qualitative</t>
  </si>
  <si>
    <t>APACT4004
Servibio</t>
  </si>
  <si>
    <t>30172 V1</t>
  </si>
  <si>
    <t>BM CB05</t>
  </si>
  <si>
    <t>Agrégation plaquettaire en présence d'acide arachidonique</t>
  </si>
  <si>
    <t>Agrégation plaquettaire en présence d'ADP</t>
  </si>
  <si>
    <t>Agrégation plaquettaire en présence d'Adrénaline (Epinéphrine)</t>
  </si>
  <si>
    <t>Agrégation plaquettaire en présence de Collagène</t>
  </si>
  <si>
    <t>Agrégation plaquettaire en présence de Ristocétine</t>
  </si>
  <si>
    <t>Test de Kleihauer</t>
  </si>
  <si>
    <t xml:space="preserve">Identification morphologique après coloration </t>
  </si>
  <si>
    <t>30014 V1</t>
  </si>
  <si>
    <t>Myélogramme</t>
  </si>
  <si>
    <t>Moelle</t>
  </si>
  <si>
    <t>30197 V1</t>
  </si>
  <si>
    <t>BM HB02</t>
  </si>
  <si>
    <t>Pool de moelle</t>
  </si>
  <si>
    <t>Adénogramme dans le cadre d'une hémopathie</t>
  </si>
  <si>
    <t>Ponction ganglionnaire</t>
  </si>
  <si>
    <t>Test d'Itano</t>
  </si>
  <si>
    <t>Test d’hémolyse, lecture visuelle</t>
  </si>
  <si>
    <t>28663 V2</t>
  </si>
  <si>
    <t>BM HB05</t>
  </si>
  <si>
    <t>Parasitologie-mycologie spécialisées (PARASITOMYCO)</t>
  </si>
  <si>
    <t xml:space="preserve">identification des champignons filamenteux
</t>
  </si>
  <si>
    <t>culture (colonie) fongique</t>
  </si>
  <si>
    <t>identification sur critères macro/microscopique et maldi-tof</t>
  </si>
  <si>
    <t>manuelle pour Examen macro et microscopique, automatisée pour spectrométrie de masse</t>
  </si>
  <si>
    <t>Maldi tof Brucker - systeme IVD Maldi Biotyper</t>
  </si>
  <si>
    <t>28710 v2</t>
  </si>
  <si>
    <t>BM PM01</t>
  </si>
  <si>
    <t xml:space="preserve">Recherche d'ADN de Pneumocystis jirovecii
</t>
  </si>
  <si>
    <t>Prélèvements respiratoires + extraits d'ADN</t>
  </si>
  <si>
    <t>détection d'acides nucléiques</t>
  </si>
  <si>
    <t>EZ1 (extraction) / CFX 96 (amplification)</t>
  </si>
  <si>
    <t>30049 v1</t>
  </si>
  <si>
    <t>BM PM02</t>
  </si>
  <si>
    <t xml:space="preserve">Recherche d'ADN de Cryptosporidium sp. </t>
  </si>
  <si>
    <t>Selles + extraits d'ADN</t>
  </si>
  <si>
    <t>BM PM04</t>
  </si>
  <si>
    <t>Recherche d'ADN de Toxoplasma gondii</t>
  </si>
  <si>
    <t>sang, humeur aqueuse,,, + extraits d'ADN</t>
  </si>
  <si>
    <t>30135 v1</t>
  </si>
  <si>
    <t>Génotypage des souches de Cryptosporidium sp</t>
  </si>
  <si>
    <t>Extraits d'ADN</t>
  </si>
  <si>
    <t>Séquencage Sanger</t>
  </si>
  <si>
    <t>séquenceur AB 3500</t>
  </si>
  <si>
    <t>29810 v1</t>
  </si>
  <si>
    <t>Recherche de paludisme</t>
  </si>
  <si>
    <t>sang EDTA</t>
  </si>
  <si>
    <t xml:space="preserve">Frottis + Goutte épaisse + recherche d'Ag </t>
  </si>
  <si>
    <t>qualitatif + quantitatif parasitémie sur frottis</t>
  </si>
  <si>
    <t>14941 v5 / 14947 v5,/ 14948 v5</t>
  </si>
  <si>
    <t>BM MG13</t>
  </si>
  <si>
    <t>Méthanol</t>
  </si>
  <si>
    <t>Chromatographie en phase gazeuse avec passeur Headspace couplée à un détecteur à ionisation de flamme (CPG-HS-FID)</t>
  </si>
  <si>
    <t>GC-HS-FID Perkin Elmer (Clarus 580 + TurboMatrix HS16)</t>
  </si>
  <si>
    <t>28407 v1</t>
  </si>
  <si>
    <t>BM PT04</t>
  </si>
  <si>
    <t>PCR multiplex respiratoire</t>
  </si>
  <si>
    <t>Ecouvillon naso-pharyngés / LBA</t>
  </si>
  <si>
    <t>Extraction, Détection d'acides nucléiques</t>
  </si>
  <si>
    <t>ePlex Genemark</t>
  </si>
  <si>
    <t>26218 v1</t>
  </si>
  <si>
    <t>total actes demandé</t>
  </si>
  <si>
    <t>% activité demandée</t>
  </si>
  <si>
    <t>cumul accrédité+ demandé</t>
  </si>
  <si>
    <r>
      <t xml:space="preserve">Nombre actes réalisés en </t>
    </r>
    <r>
      <rPr>
        <sz val="11"/>
        <color rgb="FF00B0F0"/>
        <rFont val="Calibri"/>
        <family val="2"/>
        <scheme val="minor"/>
      </rPr>
      <t>2023</t>
    </r>
  </si>
  <si>
    <t>Cytologie (CYTOACP)</t>
  </si>
  <si>
    <t>Examen cytologique – Observation morphologique de constituants cellulaires</t>
  </si>
  <si>
    <t>Prélèvement(s) cellulaire(s) d'origine humaine, en milieu liquide :
frottis cervico-utérin</t>
  </si>
  <si>
    <t>Coloration Papanicolaou sur FCU</t>
  </si>
  <si>
    <t>Tissue-Tek Prisma Plus
ThinPrep 2000 Hologic</t>
  </si>
  <si>
    <t>35459 v1</t>
  </si>
  <si>
    <t>AC CA01</t>
  </si>
  <si>
    <t>Recherche et identification d'une cryoglobuline</t>
  </si>
  <si>
    <t>Cryoprécipitation + Immunofixaton</t>
  </si>
  <si>
    <t>35822 v1</t>
  </si>
  <si>
    <t>ELISPOT IFN gamma</t>
  </si>
  <si>
    <t>ELISPOT</t>
  </si>
  <si>
    <t>1 lecteur ELISPOT pour capture d'images et comptage des spots</t>
  </si>
  <si>
    <t>iSpot Spectrum 
Eurobio Scientific</t>
  </si>
  <si>
    <t>35799 v1</t>
  </si>
  <si>
    <t>BM IC06</t>
  </si>
  <si>
    <t>Sang total artériel et  veineux</t>
  </si>
  <si>
    <t>Sodium (Gaz du sang)</t>
  </si>
  <si>
    <t>Sang total artériel, capillaire, veineux, artério-veineux</t>
  </si>
  <si>
    <t>Potassium (Gaz du sang)</t>
  </si>
  <si>
    <t>Lactate (Gaz du sang)</t>
  </si>
  <si>
    <t>PO2 (Gaz du sang)</t>
  </si>
  <si>
    <t>Glucose (Gaz du sang)</t>
  </si>
  <si>
    <t>Hémoglobine totale (Gaz du sang)</t>
  </si>
  <si>
    <t>Test Viscoélastique</t>
  </si>
  <si>
    <t>Sang total</t>
  </si>
  <si>
    <t>35819 V1</t>
  </si>
  <si>
    <t>VIH Sérotypage (expertise - SSEIA)</t>
  </si>
  <si>
    <t>automatisé</t>
  </si>
  <si>
    <t>ETI-Max 3000</t>
  </si>
  <si>
    <t>35887 v1</t>
  </si>
  <si>
    <t>Séquençage NGS COVID-19</t>
  </si>
  <si>
    <t>Ecouvillonage nasal profond, LBA</t>
  </si>
  <si>
    <t>Séquençage à Haut débit et Traitement bioinformatique</t>
  </si>
  <si>
    <t>MinIon</t>
  </si>
  <si>
    <t>35598 v1 et 35804 v1</t>
  </si>
  <si>
    <t>BM MG6</t>
  </si>
  <si>
    <t>total actes demandé (hors bio déloc)</t>
  </si>
  <si>
    <t>Site</t>
  </si>
  <si>
    <t>Lieu de réalisation des opérations</t>
  </si>
  <si>
    <t>Nature de l'échantillon biologique/de la région anatomique</t>
  </si>
  <si>
    <t>Principe de la méthode</t>
  </si>
  <si>
    <t>Référence de la méthode</t>
  </si>
  <si>
    <t>Nature de l'évolution (ajout, changement affectant les performances de la méthode, ...) et Remarque</t>
  </si>
  <si>
    <t>AC CA01 _ B _ Coloration Papanicolaou sur FCU _ Qualitatif _ Automatisée _ 2 _ Tissue-Tek Prisma Plus
ThinPrep 2000 Hologic</t>
  </si>
  <si>
    <t>BM MG1 _ B _ EIA _ quantitatif _ automatisé _ 1 _ ETI-Max 3000</t>
  </si>
  <si>
    <t>BM MG6 _ B _ Séquençage à Haut débit et Traitement bioinformatique _ qualitatif _ automatisé _ 1 _ MinIon</t>
  </si>
  <si>
    <t>BM BB4 _ B _ Cryoprécipitation + Immunofixaton _ Qualitatif _ Semi-automatisée _ 1 _ hydrasys SEBIA</t>
  </si>
  <si>
    <t>BM IC06 _ B _ ELISPOT _ qualitatif _ manuelle _ 1 lecteur ELISPOT pour capture d'images et comptage des spots _ iSpot Spectrum 
Eurobio Scientific</t>
  </si>
  <si>
    <t>Site EBMD</t>
  </si>
  <si>
    <t>ONGLET : Examens accrédités et ajouts</t>
  </si>
  <si>
    <t>Gestion des SAINT JULIEN</t>
  </si>
  <si>
    <t>Mise en forme conditionnelle sur mot 'Julie' colonne A</t>
  </si>
  <si>
    <t>Trier sur colonne A par couleur pour mettre de coté les Saint Julien</t>
  </si>
  <si>
    <t>supprimer la ligne avec saint julien barrée seule</t>
  </si>
  <si>
    <t>Dupliquer les lignes avec Saint-Julien</t>
  </si>
  <si>
    <t>Remplacer des lignes dupliquée avec Saint Julien uniquement</t>
  </si>
  <si>
    <t>Supprimer Saint Julien des lignes originales</t>
  </si>
  <si>
    <t>Annuler la mise en forme conditionnelle</t>
  </si>
  <si>
    <t>Suppression des lignes barrées</t>
  </si>
  <si>
    <t>Modification des 1 en 01 (BM MG1 en BM MG01 par exemple) (idem pour les 3, 7 ...)</t>
  </si>
  <si>
    <t>CONCATENATION</t>
  </si>
  <si>
    <t>Formule -&gt;</t>
  </si>
  <si>
    <t>"=CONCATENER(N15;" _ ";O15;" _ ";G15;" _ ";H15;" _ ";I15;" _ ";J15;" _ ";K15)"</t>
  </si>
  <si>
    <t>Etirer la formule</t>
  </si>
  <si>
    <t>ONGLET : FLEXI+</t>
  </si>
  <si>
    <t>Colonnes demandées par flexi+</t>
  </si>
  <si>
    <t>prendre la première ligne de l'onglet examens</t>
  </si>
  <si>
    <t>Copier/coller les cellules</t>
  </si>
  <si>
    <t>E</t>
  </si>
  <si>
    <t>F</t>
  </si>
  <si>
    <t>Q</t>
  </si>
  <si>
    <t>L</t>
  </si>
  <si>
    <t>M</t>
  </si>
  <si>
    <t>Etirer les colonnes</t>
  </si>
  <si>
    <t>Trier par colonne 'Principe de la methode' et inserer dans Flexi+</t>
  </si>
  <si>
    <t>AJOUT ET MODIFICATION</t>
  </si>
  <si>
    <t>A réaliser dans l'onglet 'Examens et ajouts'</t>
  </si>
  <si>
    <t xml:space="preserve">Cinétique enzymatique standardisée IFCC </t>
  </si>
  <si>
    <t>extension 2019 auditée en mai 2024</t>
  </si>
  <si>
    <t>Anticorps anti-PF4 ELISA</t>
  </si>
  <si>
    <t>lecture des DO sur Biomek 3000 (Beckman coulter)</t>
  </si>
  <si>
    <t>37075 v1</t>
  </si>
  <si>
    <t>ajout après audit de mai 2024</t>
  </si>
  <si>
    <t>Méthode Elisa en phase solide</t>
  </si>
  <si>
    <t>Recherche de déficit en G6PD par cytométrie en flux</t>
  </si>
  <si>
    <t>fluorescence des globules rouges</t>
  </si>
  <si>
    <t>Cytmètre  NAVIOS EX Beckman Coulter</t>
  </si>
  <si>
    <t>29961 v5</t>
  </si>
  <si>
    <t>Auomatisée</t>
  </si>
  <si>
    <t>9899 v14</t>
  </si>
  <si>
    <t>suite en MG12</t>
  </si>
  <si>
    <t>suite en MG11/MG12</t>
  </si>
  <si>
    <t>Processus complexe "Etude de l'hémoglobine" aussi sur les lignes de porées BB04</t>
  </si>
  <si>
    <t>Processus complexe "Dosage des enzymes érythocytaires" aussi en ligne de portée HB06</t>
  </si>
  <si>
    <t>30223 V1</t>
  </si>
  <si>
    <t>BM MG05</t>
  </si>
  <si>
    <t>STA COMPACT MAX</t>
  </si>
  <si>
    <t xml:space="preserve">40393 v2 </t>
  </si>
  <si>
    <t>40395 v2</t>
  </si>
  <si>
    <t>40397 v2</t>
  </si>
  <si>
    <t>27508 v3</t>
  </si>
  <si>
    <t>42043 v1</t>
  </si>
  <si>
    <r>
      <rPr>
        <b/>
        <sz val="10"/>
        <color rgb="FF00B0F0"/>
        <rFont val="Calibri"/>
        <family val="2"/>
        <scheme val="minor"/>
      </rPr>
      <t>Cadre:</t>
    </r>
    <r>
      <rPr>
        <sz val="10"/>
        <color rgb="FF00B0F0"/>
        <rFont val="Calibri"/>
        <family val="2"/>
        <scheme val="minor"/>
      </rPr>
      <t xml:space="preserve"> Dosage  réalisé pour analyse du métabolisme de la créatine</t>
    </r>
  </si>
  <si>
    <r>
      <rPr>
        <b/>
        <sz val="10"/>
        <color rgb="FF00B0F0"/>
        <rFont val="Calibri"/>
        <family val="2"/>
        <scheme val="minor"/>
      </rPr>
      <t>Cadre</t>
    </r>
    <r>
      <rPr>
        <sz val="10"/>
        <color rgb="FF00B0F0"/>
        <rFont val="Calibri"/>
        <family val="2"/>
        <scheme val="minor"/>
      </rPr>
      <t>: Dosage réalisé en parallèle du dosage du pyruvate plasmatique</t>
    </r>
  </si>
  <si>
    <r>
      <t xml:space="preserve">29961 </t>
    </r>
    <r>
      <rPr>
        <b/>
        <sz val="10"/>
        <color rgb="FF00B0F0"/>
        <rFont val="Calibri"/>
        <family val="2"/>
        <scheme val="minor"/>
      </rPr>
      <t>v5</t>
    </r>
  </si>
  <si>
    <r>
      <t xml:space="preserve">extension 2019 auditée en mai 2024 </t>
    </r>
    <r>
      <rPr>
        <b/>
        <sz val="10"/>
        <color rgb="FF00B0F0"/>
        <rFont val="Calibri"/>
        <family val="2"/>
        <scheme val="minor"/>
      </rPr>
      <t xml:space="preserve">Processus complexe </t>
    </r>
    <r>
      <rPr>
        <sz val="10"/>
        <color rgb="FF00B0F0"/>
        <rFont val="Calibri"/>
        <family val="2"/>
        <scheme val="minor"/>
      </rPr>
      <t>"Etude de l'hémoglobine" aussi sur les lignes de portées BB02</t>
    </r>
  </si>
  <si>
    <r>
      <rPr>
        <b/>
        <sz val="10"/>
        <color rgb="FF00B0F0"/>
        <rFont val="Calibri"/>
        <family val="2"/>
        <scheme val="minor"/>
      </rPr>
      <t xml:space="preserve">Cadre: </t>
    </r>
    <r>
      <rPr>
        <sz val="10"/>
        <color rgb="FF00B0F0"/>
        <rFont val="Calibri"/>
        <family val="2"/>
        <scheme val="minor"/>
      </rPr>
      <t>Exploration des hémopathies</t>
    </r>
  </si>
  <si>
    <r>
      <rPr>
        <b/>
        <sz val="10"/>
        <color rgb="FF00B0F0"/>
        <rFont val="Calibri"/>
        <family val="2"/>
        <scheme val="minor"/>
      </rPr>
      <t xml:space="preserve">Processus complexe </t>
    </r>
    <r>
      <rPr>
        <sz val="10"/>
        <color rgb="FF00B0F0"/>
        <rFont val="Calibri"/>
        <family val="2"/>
        <scheme val="minor"/>
      </rPr>
      <t>"Dosage des enzymes érythocytaires" aussi en ligne de portée BB01
ajout après audit de mai 2024 (fiche sapanet 18823)</t>
    </r>
  </si>
  <si>
    <t xml:space="preserve">Paramètre de la NFS
</t>
  </si>
  <si>
    <t xml:space="preserve">Changement d'automate à SJU depuis le 25/09/2024 </t>
  </si>
  <si>
    <t>extension 2019 auditée en mai 2024
Utilisation du dosage des protides liquides divers voir BM BB01</t>
  </si>
  <si>
    <t xml:space="preserve">
Utilisation du dosage des protides urinaires voir BM BB01</t>
  </si>
  <si>
    <t xml:space="preserve">
Utilisation du dosage des protides sanguins voir BM BB01</t>
  </si>
  <si>
    <t>Analyse réalisée en biochimie générale sur un automate de biochimie générale</t>
  </si>
  <si>
    <t>extension 2019 auditée en mai 2024
Suite MG12</t>
  </si>
  <si>
    <t>extension 2019 auditée en mai 2024
Suite séquençage PM04</t>
  </si>
  <si>
    <t>TENSOR ALPHA</t>
  </si>
  <si>
    <t>31750 v3</t>
  </si>
  <si>
    <t>GEM 5000 (WERFEN)</t>
  </si>
  <si>
    <t xml:space="preserve">
GEM 5000 (WERFEN)</t>
  </si>
  <si>
    <r>
      <t xml:space="preserve">9899 </t>
    </r>
    <r>
      <rPr>
        <b/>
        <sz val="10"/>
        <rFont val="Calibri"/>
        <family val="2"/>
        <scheme val="minor"/>
      </rPr>
      <t>v14</t>
    </r>
  </si>
  <si>
    <t>Processus complexe "Etude de l'hémoglobine" aussi sur les lignes de portées BB02</t>
  </si>
  <si>
    <r>
      <t xml:space="preserve">28663 </t>
    </r>
    <r>
      <rPr>
        <b/>
        <sz val="10"/>
        <rFont val="Calibri"/>
        <family val="2"/>
        <scheme val="minor"/>
      </rPr>
      <t>v6</t>
    </r>
  </si>
  <si>
    <t>27594 v4</t>
  </si>
  <si>
    <t>STAGO :
STARMAX 3</t>
  </si>
  <si>
    <t>30529 v2</t>
  </si>
  <si>
    <t>10439 v5
38103 v1</t>
  </si>
  <si>
    <t>14343 v3
38108 v1</t>
  </si>
  <si>
    <t>10440 v3
38112 v1</t>
  </si>
  <si>
    <t>22280 v2
10441 v4
38111 v1</t>
  </si>
  <si>
    <t>14344 v3
38106 v1</t>
  </si>
  <si>
    <t>10442 v4
38105 v1</t>
  </si>
  <si>
    <t>10438 v4
38102 v1</t>
  </si>
  <si>
    <t>14337 v3
10445 v3
38109 v1</t>
  </si>
  <si>
    <t>10443 v4
38104 v1</t>
  </si>
  <si>
    <t>14338 v3
10444 v3
38810 v1</t>
  </si>
  <si>
    <t>31816 v1
38101 v1</t>
  </si>
  <si>
    <t>16831 V5</t>
  </si>
  <si>
    <t>16832 V5</t>
  </si>
  <si>
    <t>16834 V5</t>
  </si>
  <si>
    <t>STAGO : STAR Max 3(voie Endogène), 2 STAR-Max Evo (voie Exogène) SYSMEX CN3500</t>
  </si>
  <si>
    <t>30222 v4</t>
  </si>
  <si>
    <t>Cobas Pro Roche</t>
  </si>
  <si>
    <t>Cobas pro Roche</t>
  </si>
  <si>
    <t>Changement automate:  mise en production le 25/9/24</t>
  </si>
  <si>
    <r>
      <t>STAR Max</t>
    </r>
    <r>
      <rPr>
        <vertAlign val="superscript"/>
        <sz val="10"/>
        <color rgb="FF00B0F0"/>
        <rFont val="Calibri"/>
        <family val="2"/>
        <scheme val="minor"/>
      </rPr>
      <t>3</t>
    </r>
    <r>
      <rPr>
        <sz val="10"/>
        <color rgb="FF00B0F0"/>
        <rFont val="Calibri"/>
        <family val="2"/>
        <scheme val="minor"/>
      </rPr>
      <t xml:space="preserve"> Diagnostica STAGO (chu)    </t>
    </r>
  </si>
  <si>
    <r>
      <t>10646</t>
    </r>
    <r>
      <rPr>
        <b/>
        <sz val="10"/>
        <color rgb="FF0070C0"/>
        <rFont val="Calibri"/>
        <family val="2"/>
        <scheme val="minor"/>
      </rPr>
      <t xml:space="preserve"> </t>
    </r>
    <r>
      <rPr>
        <b/>
        <sz val="10"/>
        <color rgb="FF00B0F0"/>
        <rFont val="Calibri"/>
        <family val="2"/>
        <scheme val="minor"/>
      </rPr>
      <t>v8</t>
    </r>
  </si>
  <si>
    <t>Nouveaux automates STARMAX3 à partir du 12/11/2024</t>
  </si>
  <si>
    <t>14898 v4</t>
  </si>
  <si>
    <t>14899 v5</t>
  </si>
  <si>
    <t xml:space="preserve">Cobas Pro Roche
</t>
  </si>
  <si>
    <t xml:space="preserve">Changement automate:  mise en production le 25/9/24 </t>
  </si>
  <si>
    <t xml:space="preserve">Cobas pro Roche
</t>
  </si>
  <si>
    <r>
      <t xml:space="preserve">29961 </t>
    </r>
    <r>
      <rPr>
        <b/>
        <sz val="10"/>
        <rFont val="Calibri"/>
        <family val="2"/>
        <scheme val="minor"/>
      </rPr>
      <t>v5</t>
    </r>
  </si>
  <si>
    <r>
      <t xml:space="preserve">14900 </t>
    </r>
    <r>
      <rPr>
        <b/>
        <sz val="10"/>
        <color rgb="FF00B0F0"/>
        <rFont val="Calibri"/>
        <family val="2"/>
        <scheme val="minor"/>
      </rPr>
      <t>v5</t>
    </r>
  </si>
  <si>
    <r>
      <t xml:space="preserve">14853 </t>
    </r>
    <r>
      <rPr>
        <b/>
        <sz val="10"/>
        <color rgb="FF00B0F0"/>
        <rFont val="Calibri"/>
        <family val="2"/>
        <scheme val="minor"/>
      </rPr>
      <t>v7</t>
    </r>
  </si>
  <si>
    <r>
      <t xml:space="preserve">14852 </t>
    </r>
    <r>
      <rPr>
        <b/>
        <sz val="10"/>
        <color rgb="FF00B0F0"/>
        <rFont val="Calibri"/>
        <family val="2"/>
        <scheme val="minor"/>
      </rPr>
      <t>v7</t>
    </r>
  </si>
  <si>
    <r>
      <t xml:space="preserve">14851 </t>
    </r>
    <r>
      <rPr>
        <b/>
        <sz val="10"/>
        <color rgb="FF00B0F0"/>
        <rFont val="Calibri"/>
        <family val="2"/>
        <scheme val="minor"/>
      </rPr>
      <t>v8</t>
    </r>
  </si>
  <si>
    <r>
      <t xml:space="preserve">14854 </t>
    </r>
    <r>
      <rPr>
        <b/>
        <sz val="10"/>
        <color rgb="FF00B0F0"/>
        <rFont val="Calibri"/>
        <family val="2"/>
        <scheme val="minor"/>
      </rPr>
      <t>v7</t>
    </r>
  </si>
  <si>
    <t>24417 v4</t>
  </si>
  <si>
    <t>14905 v4</t>
  </si>
  <si>
    <t>14904 v5</t>
  </si>
  <si>
    <t>14903 v4</t>
  </si>
  <si>
    <t>14902 v4</t>
  </si>
  <si>
    <t>24413 v4</t>
  </si>
  <si>
    <t>24418 v3</t>
  </si>
  <si>
    <t>30466 v2</t>
  </si>
  <si>
    <t>BM CB04 _ A _ Sonorhéométrie  _ Quantitatif _ Automatisée _ 1 _ Quantra (Stago)
20X131
N°série 80</t>
  </si>
  <si>
    <t xml:space="preserve">Centres de prélèvement 
</t>
  </si>
  <si>
    <t>Centres de prélèvement</t>
  </si>
  <si>
    <t>Consultation hématologie
Services de soins</t>
  </si>
  <si>
    <t>Crachats</t>
  </si>
  <si>
    <t>Sperme</t>
  </si>
  <si>
    <t xml:space="preserve">
Nasopharyngés
Oropharyngés</t>
  </si>
  <si>
    <t>Peau
Phanères
Tissus cellulaires sous-cutanés</t>
  </si>
  <si>
    <t>Moelle osseuse</t>
  </si>
  <si>
    <t>Prélèvement par ponction veineuse directe</t>
  </si>
  <si>
    <t>Prélèvement par ponction artérielle</t>
  </si>
  <si>
    <t>Recueil des urines
Prélèvement par recueil sur le site de prélèvement de poche.</t>
  </si>
  <si>
    <t>Ecouvillonnage
Recueil salivaire sur buvard</t>
  </si>
  <si>
    <t>Recueil des selles</t>
  </si>
  <si>
    <t>Ecouvillonnage pour examens microbiologiques</t>
  </si>
  <si>
    <t>Recueil de sperme</t>
  </si>
  <si>
    <t>Frottis cervico-vaginal</t>
  </si>
  <si>
    <t>Prélèvement cutané pour examens microbiologiques
Prélèvement des phanères pour examens microbiologiques</t>
  </si>
  <si>
    <t>Ponction sternale ou iliaque</t>
  </si>
  <si>
    <t>Prélèvement par pose d’une poche pédiatrique</t>
  </si>
  <si>
    <t xml:space="preserve">Viskali
Protocole institutionnel de prélèvement veineux périphérique (Gedi 1161) </t>
  </si>
  <si>
    <t xml:space="preserve">Viskali
Protocole institutionnel de ponction artérielle </t>
  </si>
  <si>
    <t xml:space="preserve">Viskali
</t>
  </si>
  <si>
    <t>Viskali
Protocole institutionnel de recueil des urines en vue d’un ECBU et autres examens de biologie chez un patient non sondé (Gedi 6868)
Protocole institutionnel de recueil des urines chez un patient porteur d’une sonde vésicale (Gedi 245)</t>
  </si>
  <si>
    <t xml:space="preserve">Viskali
Microbiologie : Prélèvements effectués à l'unité de prélèvement (UP) (GEDI 3706)
</t>
  </si>
  <si>
    <t>Viskali
Procédure de recueil du sperme (GEDI 4106)</t>
  </si>
  <si>
    <t>Viskali
Protocole de prélèvement du myélogramme GEDI 1768</t>
  </si>
  <si>
    <t>BM PP01</t>
  </si>
  <si>
    <t>extension demandée en novembre 2024</t>
  </si>
  <si>
    <t>Viskali
Procédure opératoire de la recherche de sarcopte (gale) (GEDI 1212)
MO prélèvement mycologique</t>
  </si>
  <si>
    <t>Viskali</t>
  </si>
  <si>
    <t>Recueil du crachat</t>
  </si>
  <si>
    <t xml:space="preserve">Prélèvements génitaux :
vaginal, urétral, anal
</t>
  </si>
  <si>
    <t>Prélèvements gynécologiques</t>
  </si>
  <si>
    <t>Centres de prélèvement 
Biologie de la reproduction</t>
  </si>
  <si>
    <t>Biologie de la reproduction</t>
  </si>
  <si>
    <t>Centres de prélèvement 
Consultation hématologie
Biologie de la reproduction</t>
  </si>
  <si>
    <t>Cobas Pro</t>
  </si>
  <si>
    <t>26088 v3</t>
  </si>
  <si>
    <t>15047 v4</t>
  </si>
  <si>
    <t>26378 v2</t>
  </si>
  <si>
    <t>10686 v4</t>
  </si>
  <si>
    <t>15055 v2</t>
  </si>
  <si>
    <t>15058 v2</t>
  </si>
  <si>
    <t>15051 v2</t>
  </si>
  <si>
    <t>29079 v3</t>
  </si>
  <si>
    <r>
      <rPr>
        <sz val="10"/>
        <color rgb="FF00B0F0"/>
        <rFont val="Calibri"/>
        <family val="2"/>
        <scheme val="minor"/>
      </rPr>
      <t>STARMAX2</t>
    </r>
    <r>
      <rPr>
        <sz val="10"/>
        <rFont val="Calibri"/>
        <family val="2"/>
        <scheme val="minor"/>
      </rPr>
      <t xml:space="preserve">
Diagnostica STAGO</t>
    </r>
  </si>
  <si>
    <r>
      <t xml:space="preserve">27750 </t>
    </r>
    <r>
      <rPr>
        <sz val="10"/>
        <color rgb="FF00B0F0"/>
        <rFont val="Calibri"/>
        <family val="2"/>
        <scheme val="minor"/>
      </rPr>
      <t>v3</t>
    </r>
  </si>
  <si>
    <r>
      <t xml:space="preserve">27751 </t>
    </r>
    <r>
      <rPr>
        <sz val="10"/>
        <color rgb="FF00B0F0"/>
        <rFont val="Calibri"/>
        <family val="2"/>
        <scheme val="minor"/>
      </rPr>
      <t>v3</t>
    </r>
  </si>
  <si>
    <r>
      <t xml:space="preserve">14901 </t>
    </r>
    <r>
      <rPr>
        <sz val="10"/>
        <color rgb="FF00B0F0"/>
        <rFont val="Calibri"/>
        <family val="2"/>
        <scheme val="minor"/>
      </rPr>
      <t xml:space="preserve">v4 </t>
    </r>
    <r>
      <rPr>
        <sz val="10"/>
        <rFont val="Calibri"/>
        <family val="2"/>
        <scheme val="minor"/>
      </rPr>
      <t xml:space="preserve">          </t>
    </r>
  </si>
  <si>
    <r>
      <t>STAR Max</t>
    </r>
    <r>
      <rPr>
        <vertAlign val="superscript"/>
        <sz val="10"/>
        <color rgb="FF00B0F0"/>
        <rFont val="Calibri"/>
        <family val="2"/>
        <scheme val="minor"/>
      </rPr>
      <t xml:space="preserve">3 </t>
    </r>
    <r>
      <rPr>
        <sz val="10"/>
        <color rgb="FF00B0F0"/>
        <rFont val="Calibri"/>
        <family val="2"/>
        <scheme val="minor"/>
      </rPr>
      <t xml:space="preserve">et STARMAX2 Diagnostica STAGO (chu)    </t>
    </r>
  </si>
  <si>
    <t>Nouveaux automates STARMAX3 à partir du 12/11/2024
Le 10/12/2024 mise en place du STARMAX 549 dans un autre secteur</t>
  </si>
  <si>
    <t>Le 10/12/2024 mise en place du STARMAX 549 dans un autre secteur</t>
  </si>
  <si>
    <t>Changement automate:  mise en production le 25/9/24 et 16/12/2024</t>
  </si>
  <si>
    <t>Changement automate:  mise en production le 25/9/24 et le 16/12/2024</t>
  </si>
  <si>
    <t>Changement automate:  mise en production le 25/9/24  et le 16/12/2024</t>
  </si>
  <si>
    <t>Cobas Pure</t>
  </si>
  <si>
    <t>Changement automate:  mise en production le 10/12/2024</t>
  </si>
  <si>
    <t>Arrêt STJ</t>
  </si>
  <si>
    <t>Recherche d'altérations moléculaires par séquençage haut débit NGS</t>
  </si>
  <si>
    <t>PCR ADN VIH-1</t>
  </si>
  <si>
    <t>41368 v1</t>
  </si>
  <si>
    <t>Sérologie IgM VHE</t>
  </si>
  <si>
    <t>41257 v1</t>
  </si>
  <si>
    <t>MGI / CFX96</t>
  </si>
  <si>
    <t>40085 v1</t>
  </si>
  <si>
    <r>
      <t xml:space="preserve">Principe de la méthode 
(préciser l'identification de l'équipement si méthode automatisée et le nombre </t>
    </r>
    <r>
      <rPr>
        <b/>
        <u/>
        <sz val="9"/>
        <rFont val="Calibri"/>
        <family val="2"/>
        <scheme val="minor"/>
      </rPr>
      <t>ou</t>
    </r>
    <r>
      <rPr>
        <b/>
        <sz val="9"/>
        <rFont val="Calibri"/>
        <family val="2"/>
        <scheme val="minor"/>
      </rPr>
      <t xml:space="preserve"> préciser méthode manuelle, ainsi que la technique mise en oeuvre)</t>
    </r>
  </si>
  <si>
    <t>Nombre actes réalisés en 2024</t>
  </si>
  <si>
    <t>D-Dimères Liatest</t>
  </si>
  <si>
    <r>
      <t xml:space="preserve"> 2 STAR Max</t>
    </r>
    <r>
      <rPr>
        <vertAlign val="superscript"/>
        <sz val="10"/>
        <color rgb="FF00B0F0"/>
        <rFont val="Calibri"/>
        <family val="2"/>
        <scheme val="minor"/>
      </rPr>
      <t>3</t>
    </r>
    <r>
      <rPr>
        <sz val="10"/>
        <color rgb="FF00B0F0"/>
        <rFont val="Calibri"/>
        <family val="2"/>
        <scheme val="minor"/>
      </rPr>
      <t xml:space="preserve"> Diagnostica STAGO (chu)
1 STARMAX2
Diagnostica STAGO    </t>
    </r>
  </si>
  <si>
    <t>42212 v1</t>
  </si>
  <si>
    <t>Mise en place d'une nouvelle analyse à partir du 21/01/2025</t>
  </si>
  <si>
    <r>
      <t xml:space="preserve">D-Dimères, </t>
    </r>
    <r>
      <rPr>
        <sz val="10"/>
        <color rgb="FFFF0000"/>
        <rFont val="Calibri"/>
        <family val="2"/>
        <scheme val="minor"/>
      </rPr>
      <t>suivi</t>
    </r>
    <r>
      <rPr>
        <sz val="10"/>
        <rFont val="Calibri"/>
        <family val="2"/>
        <scheme val="minor"/>
      </rPr>
      <t xml:space="preserve"> de thrombose</t>
    </r>
  </si>
  <si>
    <t xml:space="preserve">BIOMERIEUX
Vidas 3 N° VN04565 (HCN)
</t>
  </si>
  <si>
    <r>
      <t xml:space="preserve">27508 </t>
    </r>
    <r>
      <rPr>
        <sz val="10"/>
        <color rgb="FF00B0F0"/>
        <rFont val="Calibri"/>
        <family val="2"/>
        <scheme val="minor"/>
      </rPr>
      <t>v4</t>
    </r>
  </si>
  <si>
    <t>Suppression du Vidas back-up et Changement d'indication de pour les D-Dimères ELFA à partir du 21/01/2025</t>
  </si>
  <si>
    <t xml:space="preserve">Séquenceur automatique d'ADN 3500, Applied Biosystems </t>
  </si>
  <si>
    <t>27469 v3</t>
  </si>
  <si>
    <t>14934 v2
rev 34166v1</t>
  </si>
  <si>
    <t>16790 v1
rev 26064v2</t>
  </si>
  <si>
    <t>28050 v2
rev 34127v1</t>
  </si>
  <si>
    <t>14882 v3
rev 26076v3</t>
  </si>
  <si>
    <r>
      <t xml:space="preserve">16788 v1
30723 v1
</t>
    </r>
    <r>
      <rPr>
        <b/>
        <sz val="10"/>
        <color theme="1"/>
        <rFont val="Calibri"/>
        <family val="2"/>
        <scheme val="minor"/>
      </rPr>
      <t>rev 26079v5</t>
    </r>
  </si>
  <si>
    <r>
      <t xml:space="preserve">14813 v1
</t>
    </r>
    <r>
      <rPr>
        <b/>
        <sz val="10"/>
        <color theme="1"/>
        <rFont val="Calibri"/>
        <family val="2"/>
        <scheme val="minor"/>
      </rPr>
      <t>rev 26071v3</t>
    </r>
  </si>
  <si>
    <r>
      <t xml:space="preserve">10339 v5
</t>
    </r>
    <r>
      <rPr>
        <b/>
        <sz val="10"/>
        <color theme="1"/>
        <rFont val="Calibri"/>
        <family val="2"/>
        <scheme val="minor"/>
      </rPr>
      <t>rev 26078v3</t>
    </r>
  </si>
  <si>
    <t>14613 v6</t>
  </si>
  <si>
    <r>
      <t xml:space="preserve">14881 v2
</t>
    </r>
    <r>
      <rPr>
        <b/>
        <sz val="10"/>
        <color rgb="FF00B0F0"/>
        <rFont val="Calibri"/>
        <family val="2"/>
        <scheme val="minor"/>
      </rPr>
      <t>rev 26062v3</t>
    </r>
  </si>
  <si>
    <r>
      <t xml:space="preserve">14843 v3
</t>
    </r>
    <r>
      <rPr>
        <b/>
        <sz val="10"/>
        <color rgb="FF00B0F0"/>
        <rFont val="Calibri"/>
        <family val="2"/>
        <scheme val="minor"/>
      </rPr>
      <t>rev 26093v3</t>
    </r>
  </si>
  <si>
    <t>30388 v3</t>
  </si>
  <si>
    <t>30389 v2</t>
  </si>
  <si>
    <t>26732 v3</t>
  </si>
  <si>
    <t>26731 v3</t>
  </si>
  <si>
    <t>27119 v5</t>
  </si>
  <si>
    <t>Séquenceurs Illumina MiSeq
Séquenceur Illumina NextSeq
Novaseq</t>
  </si>
  <si>
    <t>changement de version du kit 12/12/24</t>
  </si>
  <si>
    <r>
      <rPr>
        <b/>
        <sz val="10"/>
        <rFont val="Calibri"/>
        <family val="2"/>
        <scheme val="minor"/>
      </rPr>
      <t>Cadre:</t>
    </r>
    <r>
      <rPr>
        <sz val="10"/>
        <rFont val="Calibri"/>
        <family val="2"/>
        <scheme val="minor"/>
      </rPr>
      <t xml:space="preserve">
Anomalies moléculaires d'hémostase</t>
    </r>
  </si>
  <si>
    <r>
      <rPr>
        <b/>
        <sz val="10"/>
        <color rgb="FF00B0F0"/>
        <rFont val="Calibri"/>
        <family val="2"/>
        <scheme val="minor"/>
      </rPr>
      <t>Processus complexe "dépistage de la sphérocytose</t>
    </r>
    <r>
      <rPr>
        <sz val="10"/>
        <color rgb="FF00B0F0"/>
        <rFont val="Calibri"/>
        <family val="2"/>
        <scheme val="minor"/>
      </rPr>
      <t xml:space="preserve">" </t>
    </r>
  </si>
  <si>
    <t>15049 v2</t>
  </si>
  <si>
    <t>15068 v2</t>
  </si>
  <si>
    <t>15060 v3</t>
  </si>
  <si>
    <t>26089 v3</t>
  </si>
  <si>
    <t>26244 v2</t>
  </si>
  <si>
    <t>26357 v2</t>
  </si>
  <si>
    <t>26242 v3</t>
  </si>
  <si>
    <t>26240 v2</t>
  </si>
  <si>
    <t>26239 v2</t>
  </si>
  <si>
    <t>26237 v2</t>
  </si>
  <si>
    <t>Site Charles Nicolle
Fédération cœur Thorax Vaisseaux
Anesthésiologie/UF 2172</t>
  </si>
  <si>
    <t xml:space="preserve">BM BB06 _ A _ Potentiométrie directe _ Quantitatif _ Automatisée _ 1 _ 
GEM Premier 5000
N° série: 24067194
N° BIO: 24X125
</t>
  </si>
  <si>
    <t>42402 V1</t>
  </si>
  <si>
    <t xml:space="preserve">
Janvier 2025
Changement d'automate
Changement de direction des BLOCS Opératoires =&gt; Fédération cœur Thorax Vaisseaux</t>
  </si>
  <si>
    <t xml:space="preserve">BM BB06 _ A _ Potentiométrie  _ Quantitatif _ Automatisée _ 1 _ 
GEM Premier 5000
N° série: 24067194
N° BIO: 24X125
</t>
  </si>
  <si>
    <t xml:space="preserve">BM BB06 _ A _ Ampérométrie _ Quantitatif _ Automatisée _ 1 _ 
GEM Premier 5000
N° série: 24067194
N° BIO: 24X125
</t>
  </si>
  <si>
    <t xml:space="preserve">BM BB06 _ A _ CO-Oxymétrie _ Quantitatif _ Automatisée _ 1 _ 
GEM Premier 5000
N° série: 24067194
N° BIO: 24X125
</t>
  </si>
  <si>
    <t>Changement de direction des BLOCS opératoires</t>
  </si>
  <si>
    <t>Site Charles Nicolle
Pole FME
Réanimation pédiatrique/UF 5661</t>
  </si>
  <si>
    <t xml:space="preserve">BM BB06 _ A _ Potentiométrie directe _ Quantitatif _ Automatisée _ 1 _ 
GEM Premier 5000
N° série: 24087614
N° BIO: 24X128
</t>
  </si>
  <si>
    <t xml:space="preserve">BM BB06 _ A _ Potentiométrie  _ Quantitatif _ Automatisée _ 1 _ 
GEM Premier 5000
N° série: 24087614
N° BIO: 24X128
</t>
  </si>
  <si>
    <t xml:space="preserve">BM BB06 _ A _ Ampérométrie _ Quantitatif _ Automatisée _ 1 _ 
GEM Premier 5000
N° série: 24087614
N° BIO: 24X128
</t>
  </si>
  <si>
    <t>BM BB06 _ A _ CO-Oxymétrie _ Quantitatif _ Automatisée _ 1 _ 
GEM Premier 5000
N° série: 24087614
N° BIO: 24X128</t>
  </si>
  <si>
    <t>42386 V1</t>
  </si>
  <si>
    <t>Ajout dans la portée d'accréditation</t>
  </si>
  <si>
    <t xml:space="preserve">BM BB06 _ A _ Potentiométrie directe _ Quantitatif _ Automatisée _ 1 _ 
GEM Premier 5000
N° série: 24087612
N° BIO: 24X124
</t>
  </si>
  <si>
    <t xml:space="preserve">BM BB06 _ A _ Potentiométrie  _ Quantitatif _ Automatisée _ 1 _ 
GEM Premier 5000
N° série: 24087612
N° BIO: 24X124
</t>
  </si>
  <si>
    <t>BM BB06 _ A _ Ampérométrie _ Quantitatif _ Automatisée _ 1 _ 
GEM Premier 5000
N° série: 24087612
N° BIO: 24X124</t>
  </si>
  <si>
    <t xml:space="preserve">BM BB06 _ A _ Ampérométrie _ Quantitatif _ Automatisée _ 1 _ 
GEM Premier 5000
N° série: 24087612
N° BIO: 24X124
</t>
  </si>
  <si>
    <t>BM BB06 _ A _ CO-Oxymétrie _ Quantitatif _ Automatisée _ 1 _ 
GEM Premier 5000
N° série: 24087612
N° BIO: 24X124</t>
  </si>
  <si>
    <t>42805V1</t>
  </si>
  <si>
    <t>Site Charles Nicolle
Pole RAS
Réanimation chirugie cardiaque/UF 6242</t>
  </si>
  <si>
    <t>BM BB06 _ A _ CO-Oxymétrie _ Quantitatif _ Automatisée _ 1 _ 
GEM Premier 5000
N° série: 24087611
N° BIO: 24X130</t>
  </si>
  <si>
    <t>BM BB06 _ A _ Ampérométrie _ Quantitatif _ Automatisée _ 1 _ 
GEM Premier 5000
N° série: 24087611
N° BIO: 24X130</t>
  </si>
  <si>
    <t xml:space="preserve">BM BB06 _ A _ Ampérométrie _ Quantitatif _ Automatisée _ 1 _ 
GEM Premier 5000
N° série: 24087611
N° BIO: 24X130
</t>
  </si>
  <si>
    <t xml:space="preserve">BM BB06 _ A _ Potentiométrie directe _ Quantitatif _ Automatisée _ 1 _ 
GEM Premier 5000
N° série: 24087611
N° BIO: 24X130
</t>
  </si>
  <si>
    <t>BM BB06 _ A _ Potentiométrie  _ Quantitatif _ Automatisée _ 1 _ 
GEM Premier 5000
N° série: 24087611
N° BIO: 24X130</t>
  </si>
  <si>
    <t>42799V1</t>
  </si>
  <si>
    <t>HOPITAL BOIS GUILLAUME</t>
  </si>
  <si>
    <t>Site Charles Nicolle
Pole THORAX VAISSEAUX
USIR /UF 5635</t>
  </si>
  <si>
    <t xml:space="preserve">BM BB06 _ A _ Potentiométrie directe _ Quantitatif _ Automatisée _ 1 _ 
GEM Premier 5000
N° série: 24087671
N° BIO: 24X127
</t>
  </si>
  <si>
    <t>BM BB06 _ A _ Potentiométrie  _ Quantitatif _ Automatisée _ 1 _ 
GEM Premier 5000
N° série: 24087671
N° BIO: 24X127</t>
  </si>
  <si>
    <t>BM BB06 _ A _ Potentiométrie directe _ Quantitatif _ Automatisée _ 1 _ 
GEM Premier 5000
N° série: 24087671
N° BIO: 24X127</t>
  </si>
  <si>
    <t>BM BB06 _ A _ Ampérométrie _ Quantitatif _ Automatisée _ 1 _ 
GEM Premier 5000
N° série: 24087671
N° BIO: 24X127</t>
  </si>
  <si>
    <t xml:space="preserve">BM BB06 _ A _ Ampérométrie _ Quantitatif _ Automatisée _ 1 _ 
GEM Premier 5000
N° série: 24087671
N° BIO: 24X127
</t>
  </si>
  <si>
    <t>BM BB06 _ A _ CO-Oxymétrie _ Quantitatif _ Automatisée _ 1 _ 
GEM Premier 5000
N° série: 24087671
N° BIO: 24X127</t>
  </si>
  <si>
    <t>42834 V1</t>
  </si>
  <si>
    <t>Séquençage NGS de résistance VIH</t>
  </si>
  <si>
    <t>MiSeq Illumina</t>
  </si>
  <si>
    <t>42326 v1</t>
  </si>
  <si>
    <r>
      <t xml:space="preserve">Nombre actes réalisés en </t>
    </r>
    <r>
      <rPr>
        <sz val="11"/>
        <color rgb="FF00B0F0"/>
        <rFont val="Calibri"/>
        <family val="2"/>
        <scheme val="minor"/>
      </rPr>
      <t>2024</t>
    </r>
  </si>
  <si>
    <t>117 (à partir d'aout 24)</t>
  </si>
  <si>
    <t>Détermination de l'hématocrite par centrifugation</t>
  </si>
  <si>
    <t>Sang total EDTA</t>
  </si>
  <si>
    <t>plasma, sang total EDTA</t>
  </si>
  <si>
    <t>31151 v1</t>
  </si>
  <si>
    <t>BM HB03</t>
  </si>
  <si>
    <t>Détermination de l'hématocrite par centrifugation avec 
des tubes capillaires auto-étanchéifiables</t>
  </si>
  <si>
    <t xml:space="preserve">écouvillons naso-pharyngés en milieu de transport viral </t>
  </si>
  <si>
    <t>Site Charles Nicolle
Pole RAS
Réanimation chirugicale et médecine / UF6280</t>
  </si>
  <si>
    <t xml:space="preserve">BM BB06 _ A _ Potentiométrie directe _ Quantitatif _ Automatisée _ 1 _ 
GEM Premier 5000
N° série: 24087616
N° BIO: 24X126
</t>
  </si>
  <si>
    <t>BM BB06 _ A _ Potentiométrie directe _ Quantitatif _ Automatisée _ 1 _ 
GEM Premier 5000
N° série: 24087616
N° BIO: 24X126</t>
  </si>
  <si>
    <t>BM BB06 _ A _ Ampérométrie _ Quantitatif _ Automatisée _ 1 _ 
GEM Premier 5000
N° série: 24087616
N° BIO: 24X126</t>
  </si>
  <si>
    <t xml:space="preserve">BM BB06 _ A _ Ampérométrie _ Quantitatif _ Automatisée _ 1 _ 
GEM Premier 5000
N° série: 24087616
N° BIO: 24X126
</t>
  </si>
  <si>
    <t>BM BB06 _ A _ CO-Oxymétrie _ Quantitatif _ Automatisée _ 1 _ 
GEM Premier 5000
N° série: 24087616
N° BIO: 24X126</t>
  </si>
  <si>
    <t>BM BB06 _ A _ Potentiométrie  _ Quantitatif _ Automatisée _ 1 _ 
GEM Premier 5000
N° série: 24087616
N° BIO: 24X126</t>
  </si>
  <si>
    <t>Flexi</t>
  </si>
  <si>
    <t>OK</t>
  </si>
  <si>
    <t>Site Charles Nicolle
Pole RAS
Bloc Maternité / UF2150</t>
  </si>
  <si>
    <t>BM CB04 _ A _ Sonorhéométrie  _ Quantitatif _ Automatisée _ 1 _ Quantra (Stago)
24X150
N°série 00500</t>
  </si>
  <si>
    <t>42519 V1</t>
  </si>
  <si>
    <t>BM CB04 _ A _ Sonorhéométrie  _ Quantitatif _ Automatisée _ 1 _ Quantra (Stago)
19_227
N°série 00130</t>
  </si>
  <si>
    <t>BM MG6 _ B _ Séquençage à Haut débit et Traitement bioinformatique _ Qualitatif _ Automatisée _ 1 _ MiSeq Illumina</t>
  </si>
  <si>
    <t xml:space="preserve">BM HB03 _ A _ Détermination de l'hématocrite par centrifugation avec 
des tubes capillaires auto-étanchéifiables _ Quantitatif _ manuelle _  _ </t>
  </si>
  <si>
    <t>BM VB01 _ A _ Détection d'acides nucléiques avec ou sans amplification, après extraction et purification (hybridation, PCR, …) – Biologie moléculaire _ Qualitatif _ Automatisée _ 3 _ Cepheid, GeneXpert</t>
  </si>
  <si>
    <t>extension juin 2025</t>
  </si>
  <si>
    <t>Extension juin 2025</t>
  </si>
  <si>
    <t>34241 V6</t>
  </si>
  <si>
    <t>Site Bois Guillaume
PoleVISCERAL
Hémodialyse Néphrologie /UF 5570</t>
  </si>
  <si>
    <t>Site Saint Julien
Pole MEDECINE
Urgences</t>
  </si>
  <si>
    <t xml:space="preserve">BM BB06 _ A _ Potentiométrie directe _ Quantitatif _ Automatisée _ 1 _ 
GEM Premier 5000
N° série: 22092658
N° BIO: 23 326
</t>
  </si>
  <si>
    <t>BM BB06 _ A _ Potentiométrie  _ Quantitatif _ Automatisée _ 1 _ 
GEM Premier 5000
N° série: 22092658
N° BIO: 23 326</t>
  </si>
  <si>
    <t>BM BB06 _ A _ Ampérométrie _ Quantitatif _ Automatisée _ 1 _ 
GEM Premier 5000
N° série: 22092658
N° BIO: 23 326</t>
  </si>
  <si>
    <t xml:space="preserve">BM BB06 _ A _ Ampérométrie _ Quantitatif _ Automatisée _ 1 _ 
GEM Premier 5000
N° série: 22092658
N° BIO: 23 326
</t>
  </si>
  <si>
    <t>BM BB06 _ A _ CO-Oxymétrie _ Quantitatif _ Automatisée _ 1 _ 
GEM Premier 5000
N° série: 22092658
N° BIO: 23 326</t>
  </si>
  <si>
    <t>BM MG06</t>
  </si>
  <si>
    <t>Infinity (Cepheid)</t>
  </si>
  <si>
    <t>38172 v3</t>
  </si>
  <si>
    <t>Détection qualitative et différenciation de l'ARN des virus de la grippe A/B,  VRS et SARS-CoV-2</t>
  </si>
  <si>
    <r>
      <t xml:space="preserve">écouvillons naso-pharyngés en milieu de transport viral 
LBA / ASPI NASO-PHARYNGEE
</t>
    </r>
    <r>
      <rPr>
        <sz val="10"/>
        <color rgb="FF00B0F0"/>
        <rFont val="Calibri"/>
        <family val="2"/>
        <scheme val="minor"/>
      </rPr>
      <t>plasma</t>
    </r>
  </si>
  <si>
    <r>
      <t xml:space="preserve">Cepheid, GeneXpert </t>
    </r>
    <r>
      <rPr>
        <sz val="10"/>
        <color rgb="FF00B0F0"/>
        <rFont val="Calibri"/>
        <family val="2"/>
        <scheme val="minor"/>
      </rPr>
      <t>et Infinity</t>
    </r>
  </si>
  <si>
    <t>36105 v4</t>
  </si>
  <si>
    <t>23281 v5</t>
  </si>
  <si>
    <r>
      <t xml:space="preserve">GeneXpert </t>
    </r>
    <r>
      <rPr>
        <sz val="10"/>
        <color rgb="FF00B0F0"/>
        <rFont val="Calibri"/>
        <family val="2"/>
        <scheme val="minor"/>
      </rPr>
      <t xml:space="preserve">Infinity </t>
    </r>
    <r>
      <rPr>
        <sz val="10"/>
        <rFont val="Calibri"/>
        <family val="2"/>
        <scheme val="minor"/>
      </rPr>
      <t>(Cepheid)</t>
    </r>
  </si>
  <si>
    <t>Changement d'automate le 30/06/25</t>
  </si>
  <si>
    <t>GeneXpert Infinity (Cepheid)</t>
  </si>
  <si>
    <t>23278 V4</t>
  </si>
  <si>
    <t>29942 v5</t>
  </si>
  <si>
    <t>Frottis cervico-utérin / écouvillons anaux / biopsies ORL</t>
  </si>
  <si>
    <t>Plasma citraté</t>
  </si>
  <si>
    <t>Immunodiffusion : test immunologique à flux latéral</t>
  </si>
  <si>
    <t>42887 v1</t>
  </si>
  <si>
    <t>ajout 27/06/25</t>
  </si>
  <si>
    <t>Anticorps anti-PF4 (STIC)</t>
  </si>
  <si>
    <t>39748 v2</t>
  </si>
  <si>
    <r>
      <t xml:space="preserve">Facteur rhumatoïde </t>
    </r>
    <r>
      <rPr>
        <sz val="10"/>
        <color rgb="FF00B0F0"/>
        <rFont val="Calibri"/>
        <family val="2"/>
        <scheme val="minor"/>
      </rPr>
      <t>IgM</t>
    </r>
  </si>
  <si>
    <r>
      <rPr>
        <sz val="10"/>
        <color rgb="FF00B0F0"/>
        <rFont val="Calibri"/>
        <family val="2"/>
        <scheme val="minor"/>
      </rPr>
      <t>3</t>
    </r>
    <r>
      <rPr>
        <sz val="10"/>
        <rFont val="Calibri"/>
        <family val="2"/>
        <scheme val="minor"/>
      </rPr>
      <t xml:space="preserve"> CFX 96 (amplification)
</t>
    </r>
    <r>
      <rPr>
        <sz val="10"/>
        <color rgb="FF00B0F0"/>
        <rFont val="Calibri"/>
        <family val="2"/>
        <scheme val="minor"/>
      </rPr>
      <t>1 Qiacube (extraction)</t>
    </r>
  </si>
  <si>
    <r>
      <t xml:space="preserve">Système HPLC Shimadzu® couplé à un spectromètre de masse en </t>
    </r>
    <r>
      <rPr>
        <sz val="10"/>
        <color rgb="FF00B0F0"/>
        <rFont val="Calibri"/>
        <family val="2"/>
        <scheme val="minor"/>
      </rPr>
      <t>tandem 4000</t>
    </r>
    <r>
      <rPr>
        <sz val="10"/>
        <rFont val="Calibri"/>
        <family val="2"/>
        <scheme val="minor"/>
      </rPr>
      <t xml:space="preserve"> Qtrap (ABSciex®)</t>
    </r>
  </si>
  <si>
    <t>Séquençage d'exomes</t>
  </si>
  <si>
    <t>43119 v1</t>
  </si>
  <si>
    <t>ajout d'un examen dans la portée 11/08/25</t>
  </si>
  <si>
    <t>Séquençage haut débit NGS</t>
  </si>
  <si>
    <t>16674 V2
16675 V2</t>
  </si>
  <si>
    <t xml:space="preserve">Spectrophotométrie </t>
  </si>
  <si>
    <t>42266 v2</t>
  </si>
  <si>
    <t>Cobas Pure c303</t>
  </si>
  <si>
    <t>Changement de réactif 03/09/25</t>
  </si>
  <si>
    <t>22584 v7</t>
  </si>
  <si>
    <t xml:space="preserve">Cobas Pro Roche 503
</t>
  </si>
  <si>
    <t>Exome Métabolique (Gènes associés aux Maladies Héréditaires du Métabolisme)</t>
  </si>
  <si>
    <t>Enrichissement par capture XT-HS-UMI (Agilent) et séquençage NGS par Novaseq (Illumina)</t>
  </si>
  <si>
    <t>Magnis et NovaSeq</t>
  </si>
  <si>
    <t>43392 v1</t>
  </si>
  <si>
    <t>changement de méthode depuis 19/08/25</t>
  </si>
  <si>
    <t>changement de méthode depuis 20/08/25</t>
  </si>
  <si>
    <t>26733 v2</t>
  </si>
  <si>
    <t>27452 v4
32219</t>
  </si>
  <si>
    <r>
      <t xml:space="preserve">17112 v3
17116 v3
</t>
    </r>
    <r>
      <rPr>
        <sz val="10"/>
        <color rgb="FF00B0F0"/>
        <rFont val="Calibri"/>
        <family val="2"/>
        <scheme val="minor"/>
      </rPr>
      <t>32219</t>
    </r>
  </si>
  <si>
    <r>
      <t xml:space="preserve">17112 v3
17114  v3
</t>
    </r>
    <r>
      <rPr>
        <sz val="10"/>
        <color rgb="FF00B0F0"/>
        <rFont val="Calibri"/>
        <family val="2"/>
        <scheme val="minor"/>
      </rPr>
      <t>32219</t>
    </r>
  </si>
  <si>
    <r>
      <t xml:space="preserve">17112  v3
15045 v2
</t>
    </r>
    <r>
      <rPr>
        <sz val="10"/>
        <color rgb="FF00B0F0"/>
        <rFont val="Calibri"/>
        <family val="2"/>
        <scheme val="minor"/>
      </rPr>
      <t>32219</t>
    </r>
    <r>
      <rPr>
        <sz val="10"/>
        <rFont val="Calibri"/>
        <family val="2"/>
        <scheme val="minor"/>
      </rPr>
      <t xml:space="preserve">
</t>
    </r>
  </si>
  <si>
    <r>
      <t xml:space="preserve">17112 v3
17115 v3
</t>
    </r>
    <r>
      <rPr>
        <sz val="10"/>
        <color rgb="FF00B0F0"/>
        <rFont val="Calibri"/>
        <family val="2"/>
        <scheme val="minor"/>
      </rPr>
      <t>32219</t>
    </r>
  </si>
  <si>
    <r>
      <t xml:space="preserve">32307 v1
</t>
    </r>
    <r>
      <rPr>
        <sz val="10"/>
        <color rgb="FF00B0F0"/>
        <rFont val="Calibri"/>
        <family val="2"/>
        <scheme val="minor"/>
      </rPr>
      <t>32219</t>
    </r>
  </si>
  <si>
    <t>30854 v3
32219</t>
  </si>
  <si>
    <t>33944 v2</t>
  </si>
  <si>
    <t>Acides nucléiques :
ADNg
ARN</t>
  </si>
  <si>
    <t>Détection de variants d'intérêt théranostique ou diagnostique pour les tumeurs solides par approche amplicons, séquençage parallèle massif (MiSeq Illumina) et analyse bioinformatique interne à partir d'un logiciel fournisseur</t>
  </si>
  <si>
    <t>41131 v1
41132 v1</t>
  </si>
  <si>
    <t>Changement de méthode</t>
  </si>
  <si>
    <t>43608 V1</t>
  </si>
  <si>
    <t>Site Charles Nicolle
Pole FME
Salle de naissance / UF2620</t>
  </si>
  <si>
    <t>42941 V1</t>
  </si>
  <si>
    <t xml:space="preserve">BM BB06 _ A _ Potentiométrie directe _ Quantitatif _ Automatisée _ 1 _ 
GEM Premier 5000
N° série: 20054658
N° BIO: 20 460
</t>
  </si>
  <si>
    <t>BM BB06 _ A _ Potentiométrie  _ Quantitatif _ Automatisée _ 1 _ 
GEM Premier 5000
N° série: 20054658
N° BIO: 20 460</t>
  </si>
  <si>
    <t>BM BB06 _ A _ Potentiométrie directe _ Quantitatif _ Automatisée _ 1 _ 
GEM Premier 5000
N° série: 20054658
N° BIO: 20 460</t>
  </si>
  <si>
    <t>BM BB06 _ A _ Ampérométrie _ Quantitatif _ Automatisée _ 1 _ 
GEM Premier 5000
N° série: 20054658
N° BIO: 20 460</t>
  </si>
  <si>
    <t>BM BB06 _ A _ CO-Oxymétrie _ Quantitatif _ Automatisée _ 1 _ 
GEM Premier 5000
N° série: 20054658
N° BIO: 20 460</t>
  </si>
  <si>
    <t>30361 V3</t>
  </si>
  <si>
    <t>Viskali
Procédure opératoire de la recherche de sarcopte (gale) (GEDI 1212)
Prélèvements effectués à l'unité de prélèvement en parasitologie-mycologie 42147</t>
  </si>
  <si>
    <t>retirer de Flexi + le 15/09</t>
  </si>
  <si>
    <t>suppression le 31/7/2023</t>
  </si>
  <si>
    <t>Pôle Biologie Pathologie Physiologie : liste des examens accrédités et demandés à l'accréditation</t>
  </si>
  <si>
    <t>Pôle Biologie Clinique</t>
  </si>
  <si>
    <t>changement PT01 et AI01</t>
  </si>
  <si>
    <t>Rédaction</t>
  </si>
  <si>
    <t>19 déc. 2025 17:20:41</t>
  </si>
  <si>
    <t>Adeline WAETERLOOS BARON (Gedi : Approbateur - CHU\Pôles - Directions\Pôles Médicaux\Biologie Clinique)</t>
  </si>
  <si>
    <t>Laure IGOUT (Gedi : Rédacteur - CHU\Pôles - Directions\Pôles Médicaux\Biologie Clinique)</t>
  </si>
  <si>
    <t>06- Liste (2 signatures)</t>
  </si>
  <si>
    <t>19 déc. 2025</t>
  </si>
  <si>
    <t>Approbation</t>
  </si>
  <si>
    <t>19 déc. 2025 17:21:32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</si>
</sst>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0.0%"/>
  </numFmts>
  <fonts count="42" x14ac:knownFonts="1">
    <font>
      <sz val="10"/>
      <name val="Arial"/>
    </font>
    <font>
      <sz val="11"/>
      <color theme="1"/>
      <name val="Calibri"/>
      <family val="2"/>
      <scheme val="minor"/>
    </font>
    <font>
      <sz val="11"/>
      <color theme="1"/>
      <name val="Calibri"/>
      <family val="2"/>
      <scheme val="minor"/>
    </font>
    <font>
      <sz val="8"/>
      <name val="Arial"/>
      <family val="2"/>
    </font>
    <font>
      <sz val="11"/>
      <name val="Calibri"/>
      <family val="2"/>
      <scheme val="minor"/>
    </font>
    <font>
      <sz val="8"/>
      <name val="Calibri"/>
      <family val="2"/>
      <scheme val="minor"/>
    </font>
    <font>
      <sz val="10"/>
      <name val="Calibri"/>
      <family val="2"/>
      <scheme val="minor"/>
    </font>
    <font>
      <b/>
      <sz val="9"/>
      <name val="Calibri"/>
      <family val="2"/>
      <scheme val="minor"/>
    </font>
    <font>
      <sz val="9"/>
      <name val="Calibri"/>
      <family val="2"/>
      <scheme val="minor"/>
    </font>
    <font>
      <b/>
      <sz val="14"/>
      <name val="Calibri"/>
      <family val="2"/>
      <scheme val="minor"/>
    </font>
    <font>
      <b/>
      <sz val="11"/>
      <name val="Calibri"/>
      <family val="2"/>
      <scheme val="minor"/>
    </font>
    <font>
      <sz val="10"/>
      <name val="Arial"/>
      <family val="2"/>
    </font>
    <font>
      <sz val="11"/>
      <color rgb="FF006100"/>
      <name val="Calibri"/>
      <family val="2"/>
      <scheme val="minor"/>
    </font>
    <font>
      <b/>
      <sz val="11"/>
      <color indexed="8"/>
      <name val="Calibri"/>
      <family val="2"/>
      <scheme val="minor"/>
    </font>
    <font>
      <sz val="11"/>
      <color indexed="8"/>
      <name val="Calibri"/>
      <family val="2"/>
      <scheme val="minor"/>
    </font>
    <font>
      <sz val="10"/>
      <color rgb="FF00B0F0"/>
      <name val="Calibri"/>
      <family val="2"/>
      <scheme val="minor"/>
    </font>
    <font>
      <strike/>
      <sz val="10"/>
      <name val="Calibri"/>
      <family val="2"/>
      <scheme val="minor"/>
    </font>
    <font>
      <sz val="10"/>
      <name val="Arial"/>
      <family val="2"/>
    </font>
    <font>
      <b/>
      <sz val="10"/>
      <color rgb="FF00B0F0"/>
      <name val="Calibri"/>
      <family val="2"/>
      <scheme val="minor"/>
    </font>
    <font>
      <sz val="10"/>
      <name val="Calibri"/>
      <family val="2"/>
    </font>
    <font>
      <b/>
      <sz val="10"/>
      <name val="Calibri"/>
      <family val="2"/>
      <scheme val="minor"/>
    </font>
    <font>
      <sz val="10"/>
      <color rgb="FF00B0F0"/>
      <name val="Calibri"/>
      <family val="2"/>
    </font>
    <font>
      <i/>
      <sz val="10"/>
      <name val="Calibri"/>
      <family val="2"/>
      <scheme val="minor"/>
    </font>
    <font>
      <b/>
      <sz val="10"/>
      <color rgb="FF00B0F0"/>
      <name val="Arial"/>
      <family val="2"/>
    </font>
    <font>
      <sz val="10"/>
      <color rgb="FF00B0F0"/>
      <name val="Arial"/>
      <family val="2"/>
    </font>
    <font>
      <b/>
      <sz val="11"/>
      <color indexed="8"/>
      <name val="Calibri"/>
      <family val="2"/>
    </font>
    <font>
      <b/>
      <sz val="11"/>
      <color rgb="FF00B0F0"/>
      <name val="Calibri"/>
      <family val="2"/>
      <scheme val="minor"/>
    </font>
    <font>
      <b/>
      <sz val="10"/>
      <color theme="3"/>
      <name val="Calibri"/>
      <family val="2"/>
      <scheme val="minor"/>
    </font>
    <font>
      <sz val="11"/>
      <color rgb="FF00B0F0"/>
      <name val="Calibri"/>
      <family val="2"/>
      <scheme val="minor"/>
    </font>
    <font>
      <sz val="10"/>
      <color theme="1"/>
      <name val="Calibri"/>
      <family val="2"/>
      <scheme val="minor"/>
    </font>
    <font>
      <b/>
      <sz val="9"/>
      <color rgb="FF37AFBD"/>
      <name val="Arial"/>
      <family val="2"/>
    </font>
    <font>
      <sz val="10"/>
      <color theme="3" tint="0.39997558519241921"/>
      <name val="Arial"/>
      <family val="2"/>
    </font>
    <font>
      <b/>
      <strike/>
      <sz val="10"/>
      <color rgb="FF00B0F0"/>
      <name val="Calibri"/>
      <family val="2"/>
      <scheme val="minor"/>
    </font>
    <font>
      <vertAlign val="superscript"/>
      <sz val="10"/>
      <color rgb="FF00B0F0"/>
      <name val="Calibri"/>
      <family val="2"/>
      <scheme val="minor"/>
    </font>
    <font>
      <b/>
      <sz val="10"/>
      <color rgb="FF0070C0"/>
      <name val="Calibri"/>
      <family val="2"/>
      <scheme val="minor"/>
    </font>
    <font>
      <sz val="12"/>
      <color theme="1"/>
      <name val="Calibri"/>
      <family val="2"/>
      <scheme val="minor"/>
    </font>
    <font>
      <sz val="12"/>
      <name val="Calibri"/>
      <family val="2"/>
      <scheme val="minor"/>
    </font>
    <font>
      <b/>
      <u/>
      <sz val="9"/>
      <name val="Calibri"/>
      <family val="2"/>
      <scheme val="minor"/>
    </font>
    <font>
      <sz val="10"/>
      <color rgb="FFFF0000"/>
      <name val="Calibri"/>
      <family val="2"/>
      <scheme val="minor"/>
    </font>
    <font>
      <b/>
      <sz val="10"/>
      <color theme="1"/>
      <name val="Calibri"/>
      <family val="2"/>
      <scheme val="minor"/>
    </font>
    <font>
      <b/>
      <sz val="10"/>
      <color rgb="FF00B050"/>
      <name val="Calibri"/>
      <family val="2"/>
      <scheme val="minor"/>
    </font>
    <font>
      <strike/>
      <sz val="10"/>
      <color rgb="FF00B0F0"/>
      <name val="Calibri"/>
      <family val="2"/>
      <scheme val="minor"/>
    </font>
  </fonts>
  <fills count="16">
    <fill>
      <patternFill patternType="none"/>
    </fill>
    <fill>
      <patternFill patternType="gray125"/>
    </fill>
    <fill>
      <patternFill patternType="solid">
        <fgColor rgb="FFC6EFCE"/>
      </patternFill>
    </fill>
    <fill>
      <patternFill patternType="solid">
        <fgColor indexed="55"/>
        <bgColor indexed="64"/>
      </patternFill>
    </fill>
    <fill>
      <patternFill patternType="solid">
        <fgColor indexed="22"/>
        <bgColor indexed="64"/>
      </patternFill>
    </fill>
    <fill>
      <patternFill patternType="solid">
        <fgColor theme="0"/>
        <bgColor indexed="64"/>
      </patternFill>
    </fill>
    <fill>
      <patternFill patternType="solid">
        <fgColor indexed="9"/>
        <bgColor indexed="64"/>
      </patternFill>
    </fill>
    <fill>
      <patternFill patternType="solid">
        <fgColor theme="7" tint="0.59999389629810485"/>
        <bgColor indexed="64"/>
      </patternFill>
    </fill>
    <fill>
      <patternFill patternType="solid">
        <fgColor rgb="FFFFFFFF"/>
        <bgColor indexed="64"/>
      </patternFill>
    </fill>
    <fill>
      <patternFill patternType="solid">
        <fgColor indexed="65"/>
        <bgColor indexed="9"/>
      </patternFill>
    </fill>
    <fill>
      <patternFill patternType="solid">
        <fgColor theme="8" tint="0.79998168889431442"/>
        <bgColor indexed="64"/>
      </patternFill>
    </fill>
    <fill>
      <patternFill patternType="solid">
        <fgColor theme="6" tint="0.59999389629810485"/>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39997558519241921"/>
        <bgColor indexed="64"/>
      </patternFill>
    </fill>
  </fills>
  <borders count="41">
    <border>
      <left/>
      <right/>
      <top/>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bottom/>
      <diagonal/>
    </border>
  </borders>
  <cellStyleXfs count="25">
    <xf numFmtId="0" fontId="0" fillId="0" borderId="0"/>
    <xf numFmtId="43" fontId="11" fillId="0" borderId="0" applyFont="0" applyFill="0" applyBorder="0" applyAlignment="0" applyProtection="0"/>
    <xf numFmtId="9" fontId="11" fillId="0" borderId="0" applyFont="0" applyFill="0" applyBorder="0" applyAlignment="0" applyProtection="0"/>
    <xf numFmtId="0" fontId="12" fillId="2" borderId="0" applyNumberFormat="0" applyBorder="0" applyAlignment="0" applyProtection="0"/>
    <xf numFmtId="0" fontId="2" fillId="0" borderId="0"/>
    <xf numFmtId="0" fontId="2" fillId="0" borderId="0"/>
    <xf numFmtId="0" fontId="17"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2" fillId="0" borderId="0"/>
    <xf numFmtId="9" fontId="17" fillId="0" borderId="0" applyFont="0" applyFill="0" applyBorder="0" applyAlignment="0" applyProtection="0"/>
    <xf numFmtId="0" fontId="12" fillId="2" borderId="0" applyNumberFormat="0" applyBorder="0" applyAlignment="0" applyProtection="0"/>
    <xf numFmtId="0" fontId="11" fillId="0" borderId="0"/>
    <xf numFmtId="0" fontId="11" fillId="0" borderId="0"/>
    <xf numFmtId="0" fontId="1" fillId="0" borderId="0"/>
    <xf numFmtId="0" fontId="1" fillId="0" borderId="0"/>
    <xf numFmtId="0" fontId="1" fillId="0" borderId="0"/>
    <xf numFmtId="0" fontId="1" fillId="0" borderId="0"/>
    <xf numFmtId="9" fontId="11" fillId="0" borderId="0" applyFont="0" applyFill="0" applyBorder="0" applyAlignment="0" applyProtection="0"/>
  </cellStyleXfs>
  <cellXfs count="461">
    <xf numFmtId="0" fontId="0" fillId="0" borderId="0" xfId="0"/>
    <xf numFmtId="0" fontId="5" fillId="0" borderId="2" xfId="0" applyFont="1" applyBorder="1" applyAlignment="1">
      <alignment horizontal="center" wrapText="1"/>
    </xf>
    <xf numFmtId="0" fontId="5" fillId="0" borderId="3" xfId="0" applyFont="1" applyBorder="1" applyAlignment="1">
      <alignment horizontal="center" wrapText="1"/>
    </xf>
    <xf numFmtId="0" fontId="5" fillId="0" borderId="4" xfId="0" applyFont="1" applyBorder="1" applyAlignment="1">
      <alignment horizontal="center" wrapText="1"/>
    </xf>
    <xf numFmtId="0" fontId="6" fillId="0" borderId="0" xfId="0" applyFont="1"/>
    <xf numFmtId="0" fontId="7" fillId="0" borderId="6" xfId="0" applyFont="1" applyBorder="1" applyAlignment="1">
      <alignment horizontal="center" wrapText="1"/>
    </xf>
    <xf numFmtId="0" fontId="7" fillId="0" borderId="7" xfId="0" applyFont="1" applyBorder="1" applyAlignment="1">
      <alignment horizontal="center" wrapText="1"/>
    </xf>
    <xf numFmtId="0" fontId="7" fillId="0" borderId="8" xfId="0" applyFont="1" applyBorder="1" applyAlignment="1">
      <alignment horizontal="center" wrapText="1"/>
    </xf>
    <xf numFmtId="0" fontId="13" fillId="3" borderId="24" xfId="0" applyFont="1" applyFill="1" applyBorder="1" applyAlignment="1">
      <alignment vertical="center"/>
    </xf>
    <xf numFmtId="0" fontId="13" fillId="3" borderId="25" xfId="0" applyFont="1" applyFill="1" applyBorder="1" applyAlignment="1">
      <alignment vertical="center" wrapText="1"/>
    </xf>
    <xf numFmtId="0" fontId="13" fillId="3" borderId="25" xfId="0" applyFont="1" applyFill="1" applyBorder="1" applyAlignment="1">
      <alignment horizontal="center" vertical="center" wrapText="1"/>
    </xf>
    <xf numFmtId="0" fontId="10" fillId="3" borderId="26" xfId="0" applyFont="1" applyFill="1" applyBorder="1" applyAlignment="1">
      <alignment vertical="center" wrapText="1"/>
    </xf>
    <xf numFmtId="0" fontId="6" fillId="0" borderId="0" xfId="0" applyFont="1" applyProtection="1">
      <protection hidden="1"/>
    </xf>
    <xf numFmtId="0" fontId="7" fillId="4" borderId="28" xfId="0" applyFont="1" applyFill="1" applyBorder="1" applyAlignment="1" applyProtection="1">
      <alignment horizontal="left" vertical="center" wrapText="1"/>
    </xf>
    <xf numFmtId="0" fontId="6" fillId="0" borderId="19" xfId="0" applyFont="1" applyFill="1" applyBorder="1" applyAlignment="1" applyProtection="1">
      <alignment horizontal="left" vertical="center" wrapText="1"/>
    </xf>
    <xf numFmtId="0" fontId="6" fillId="5" borderId="19" xfId="4" applyFont="1" applyFill="1" applyBorder="1" applyAlignment="1" applyProtection="1">
      <alignment horizontal="left" vertical="center" wrapText="1"/>
    </xf>
    <xf numFmtId="0" fontId="6" fillId="0" borderId="19" xfId="0" applyFont="1" applyFill="1" applyBorder="1" applyAlignment="1" applyProtection="1">
      <alignment horizontal="center" vertical="center" wrapText="1"/>
    </xf>
    <xf numFmtId="0" fontId="15" fillId="0" borderId="19" xfId="0" applyFont="1" applyFill="1" applyBorder="1" applyAlignment="1" applyProtection="1">
      <alignment horizontal="left" vertical="center" wrapText="1"/>
    </xf>
    <xf numFmtId="0" fontId="6" fillId="0" borderId="0" xfId="0" applyFont="1" applyProtection="1"/>
    <xf numFmtId="0" fontId="6" fillId="6" borderId="19" xfId="0" applyFont="1" applyFill="1" applyBorder="1" applyAlignment="1" applyProtection="1">
      <alignment horizontal="left" vertical="center" wrapText="1"/>
    </xf>
    <xf numFmtId="0" fontId="6" fillId="7" borderId="19" xfId="0" applyFont="1" applyFill="1" applyBorder="1" applyAlignment="1" applyProtection="1">
      <alignment horizontal="left" vertical="center" wrapText="1"/>
    </xf>
    <xf numFmtId="0" fontId="16" fillId="6" borderId="19" xfId="0" applyFont="1" applyFill="1" applyBorder="1" applyAlignment="1" applyProtection="1">
      <alignment horizontal="left" vertical="center" wrapText="1"/>
    </xf>
    <xf numFmtId="0" fontId="6" fillId="5" borderId="19" xfId="0" applyFont="1" applyFill="1" applyBorder="1" applyAlignment="1" applyProtection="1">
      <alignment horizontal="left" vertical="center" wrapText="1"/>
    </xf>
    <xf numFmtId="0" fontId="6" fillId="0" borderId="19" xfId="4" applyFont="1" applyFill="1" applyBorder="1" applyAlignment="1" applyProtection="1">
      <alignment horizontal="left" vertical="center" wrapText="1"/>
    </xf>
    <xf numFmtId="0" fontId="6" fillId="0" borderId="19" xfId="0" applyFont="1" applyFill="1" applyBorder="1" applyAlignment="1" applyProtection="1">
      <alignment vertical="center" wrapText="1"/>
    </xf>
    <xf numFmtId="0" fontId="6" fillId="0" borderId="19" xfId="0" applyFont="1" applyBorder="1" applyAlignment="1" applyProtection="1">
      <alignment horizontal="left" vertical="center" wrapText="1"/>
    </xf>
    <xf numFmtId="0" fontId="6" fillId="0" borderId="19" xfId="5" applyFont="1" applyFill="1" applyBorder="1" applyAlignment="1" applyProtection="1">
      <alignment horizontal="left" vertical="center" wrapText="1"/>
    </xf>
    <xf numFmtId="0" fontId="18" fillId="0" borderId="19" xfId="6" applyFont="1" applyFill="1" applyBorder="1" applyAlignment="1" applyProtection="1">
      <alignment horizontal="left" vertical="center"/>
    </xf>
    <xf numFmtId="0" fontId="20" fillId="0" borderId="19" xfId="6" applyFont="1" applyFill="1" applyBorder="1" applyAlignment="1" applyProtection="1">
      <alignment horizontal="left" vertical="center"/>
    </xf>
    <xf numFmtId="0" fontId="6" fillId="0" borderId="19" xfId="3" applyFont="1" applyFill="1" applyBorder="1" applyAlignment="1" applyProtection="1">
      <alignment vertical="center" wrapText="1"/>
    </xf>
    <xf numFmtId="0" fontId="6" fillId="0" borderId="19" xfId="7" applyFont="1" applyFill="1" applyBorder="1" applyAlignment="1" applyProtection="1">
      <alignment horizontal="left" vertical="center" wrapText="1"/>
    </xf>
    <xf numFmtId="0" fontId="6" fillId="0" borderId="19" xfId="7" applyFont="1" applyFill="1" applyBorder="1" applyAlignment="1" applyProtection="1">
      <alignment horizontal="center" vertical="center" wrapText="1"/>
    </xf>
    <xf numFmtId="0" fontId="6" fillId="0" borderId="19" xfId="6" applyFont="1" applyFill="1" applyBorder="1" applyAlignment="1" applyProtection="1">
      <alignment vertical="center" wrapText="1"/>
    </xf>
    <xf numFmtId="0" fontId="6" fillId="0" borderId="19" xfId="3" applyFont="1" applyFill="1" applyBorder="1" applyAlignment="1" applyProtection="1">
      <alignment horizontal="left" vertical="center" wrapText="1"/>
    </xf>
    <xf numFmtId="0" fontId="6" fillId="0" borderId="19" xfId="3" applyFont="1" applyFill="1" applyBorder="1" applyAlignment="1" applyProtection="1">
      <alignment horizontal="center" vertical="center" wrapText="1"/>
    </xf>
    <xf numFmtId="0" fontId="6" fillId="7" borderId="19" xfId="3" applyFont="1" applyFill="1" applyBorder="1" applyAlignment="1" applyProtection="1">
      <alignment horizontal="left" vertical="center" wrapText="1"/>
    </xf>
    <xf numFmtId="0" fontId="6" fillId="0" borderId="19" xfId="4" applyFont="1" applyFill="1" applyBorder="1" applyAlignment="1" applyProtection="1">
      <alignment horizontal="center" vertical="center" wrapText="1"/>
    </xf>
    <xf numFmtId="0" fontId="6" fillId="7" borderId="19" xfId="4" applyFont="1" applyFill="1" applyBorder="1" applyAlignment="1" applyProtection="1">
      <alignment horizontal="left" vertical="center" wrapText="1"/>
    </xf>
    <xf numFmtId="0" fontId="6" fillId="7" borderId="19" xfId="0" applyFont="1" applyFill="1" applyBorder="1" applyAlignment="1" applyProtection="1">
      <alignment vertical="center" wrapText="1"/>
    </xf>
    <xf numFmtId="0" fontId="16" fillId="0" borderId="19" xfId="0" applyFont="1" applyFill="1" applyBorder="1" applyAlignment="1" applyProtection="1">
      <alignment horizontal="left" vertical="center" wrapText="1"/>
    </xf>
    <xf numFmtId="0" fontId="15" fillId="5" borderId="19" xfId="0" applyFont="1" applyFill="1" applyBorder="1" applyAlignment="1" applyProtection="1">
      <alignment vertical="center" wrapText="1"/>
    </xf>
    <xf numFmtId="0" fontId="15" fillId="5" borderId="19" xfId="0" applyFont="1" applyFill="1" applyBorder="1" applyAlignment="1" applyProtection="1">
      <alignment horizontal="left" vertical="center" wrapText="1"/>
    </xf>
    <xf numFmtId="0" fontId="6" fillId="0" borderId="19" xfId="6" applyFont="1" applyFill="1" applyBorder="1" applyAlignment="1" applyProtection="1">
      <alignment horizontal="left" vertical="center" wrapText="1"/>
    </xf>
    <xf numFmtId="0" fontId="6" fillId="6" borderId="19" xfId="8" applyFont="1" applyFill="1" applyBorder="1" applyAlignment="1" applyProtection="1">
      <alignment horizontal="left" vertical="center" wrapText="1"/>
    </xf>
    <xf numFmtId="0" fontId="6" fillId="5" borderId="19" xfId="8" applyFont="1" applyFill="1" applyBorder="1" applyAlignment="1" applyProtection="1">
      <alignment horizontal="left" vertical="center" wrapText="1"/>
    </xf>
    <xf numFmtId="0" fontId="6" fillId="0" borderId="19" xfId="8" applyFont="1" applyFill="1" applyBorder="1" applyAlignment="1" applyProtection="1">
      <alignment horizontal="left" vertical="center" wrapText="1"/>
    </xf>
    <xf numFmtId="0" fontId="6" fillId="0" borderId="19" xfId="8" applyFont="1" applyFill="1" applyBorder="1" applyAlignment="1" applyProtection="1">
      <alignment horizontal="center" vertical="center" wrapText="1"/>
    </xf>
    <xf numFmtId="0" fontId="6" fillId="7" borderId="19" xfId="8" applyFont="1" applyFill="1" applyBorder="1" applyAlignment="1" applyProtection="1">
      <alignment horizontal="left" vertical="center" wrapText="1"/>
    </xf>
    <xf numFmtId="0" fontId="17" fillId="0" borderId="0" xfId="0" applyFont="1"/>
    <xf numFmtId="0" fontId="15" fillId="0" borderId="19" xfId="6" applyFont="1" applyFill="1" applyBorder="1" applyAlignment="1" applyProtection="1">
      <alignment horizontal="left" vertical="center" wrapText="1"/>
      <protection locked="0"/>
    </xf>
    <xf numFmtId="0" fontId="6" fillId="0" borderId="29" xfId="0" applyFont="1" applyFill="1" applyBorder="1" applyAlignment="1" applyProtection="1">
      <alignment horizontal="left" vertical="center" wrapText="1"/>
    </xf>
    <xf numFmtId="0" fontId="6" fillId="0" borderId="29" xfId="8" applyFont="1" applyFill="1" applyBorder="1" applyAlignment="1" applyProtection="1">
      <alignment horizontal="left" vertical="center" wrapText="1"/>
    </xf>
    <xf numFmtId="0" fontId="15" fillId="0" borderId="29" xfId="6" applyFont="1" applyFill="1" applyBorder="1" applyAlignment="1" applyProtection="1">
      <alignment horizontal="left" vertical="center" wrapText="1"/>
      <protection locked="0"/>
    </xf>
    <xf numFmtId="0" fontId="15" fillId="0" borderId="19" xfId="8" applyFont="1" applyFill="1" applyBorder="1" applyAlignment="1" applyProtection="1">
      <alignment horizontal="left" vertical="center" wrapText="1"/>
      <protection locked="0"/>
    </xf>
    <xf numFmtId="0" fontId="6" fillId="0" borderId="19" xfId="9" applyFont="1" applyFill="1" applyBorder="1" applyAlignment="1" applyProtection="1">
      <alignment horizontal="left" vertical="center" wrapText="1"/>
    </xf>
    <xf numFmtId="0" fontId="15" fillId="0" borderId="19" xfId="4" applyFont="1" applyFill="1" applyBorder="1" applyAlignment="1" applyProtection="1">
      <alignment horizontal="left" vertical="center" wrapText="1"/>
      <protection locked="0"/>
    </xf>
    <xf numFmtId="0" fontId="6" fillId="6" borderId="19" xfId="8" applyFont="1" applyFill="1" applyBorder="1" applyAlignment="1" applyProtection="1">
      <alignment vertical="center" wrapText="1"/>
    </xf>
    <xf numFmtId="0" fontId="6" fillId="0" borderId="19" xfId="8" applyFont="1" applyFill="1" applyBorder="1" applyAlignment="1" applyProtection="1">
      <alignment vertical="center" wrapText="1"/>
    </xf>
    <xf numFmtId="0" fontId="6" fillId="0" borderId="19" xfId="8" applyFont="1" applyBorder="1" applyAlignment="1" applyProtection="1">
      <alignment vertical="center" wrapText="1"/>
    </xf>
    <xf numFmtId="0" fontId="6" fillId="0" borderId="19" xfId="8" applyFont="1" applyBorder="1" applyAlignment="1" applyProtection="1">
      <alignment horizontal="center" vertical="center" wrapText="1"/>
    </xf>
    <xf numFmtId="0" fontId="6" fillId="6" borderId="30" xfId="0" applyFont="1" applyFill="1" applyBorder="1" applyAlignment="1" applyProtection="1">
      <alignment horizontal="left" vertical="center" wrapText="1"/>
    </xf>
    <xf numFmtId="0" fontId="6" fillId="5" borderId="30" xfId="4" applyFont="1" applyFill="1" applyBorder="1" applyAlignment="1" applyProtection="1">
      <alignment horizontal="left" vertical="center" wrapText="1"/>
    </xf>
    <xf numFmtId="0" fontId="6" fillId="0" borderId="30" xfId="0" applyFont="1" applyFill="1" applyBorder="1" applyAlignment="1" applyProtection="1">
      <alignment horizontal="left" vertical="center" wrapText="1"/>
    </xf>
    <xf numFmtId="0" fontId="6" fillId="0" borderId="30" xfId="0" applyFont="1" applyFill="1" applyBorder="1" applyAlignment="1" applyProtection="1">
      <alignment horizontal="center" vertical="center" wrapText="1"/>
    </xf>
    <xf numFmtId="0" fontId="6" fillId="5" borderId="19" xfId="8" applyFont="1" applyFill="1" applyBorder="1" applyAlignment="1" applyProtection="1">
      <alignment vertical="center" wrapText="1"/>
    </xf>
    <xf numFmtId="0" fontId="6" fillId="7" borderId="19" xfId="8" applyFont="1" applyFill="1" applyBorder="1" applyAlignment="1" applyProtection="1">
      <alignment vertical="center" wrapText="1"/>
    </xf>
    <xf numFmtId="0" fontId="18" fillId="0" borderId="19" xfId="6" applyFont="1" applyFill="1" applyBorder="1" applyAlignment="1" applyProtection="1">
      <alignment horizontal="left" vertical="center" wrapText="1"/>
      <protection locked="0"/>
    </xf>
    <xf numFmtId="0" fontId="18" fillId="0" borderId="19" xfId="6" applyFont="1" applyFill="1" applyBorder="1" applyAlignment="1" applyProtection="1">
      <alignment horizontal="left" vertical="center"/>
      <protection locked="0"/>
    </xf>
    <xf numFmtId="0" fontId="6" fillId="0" borderId="19" xfId="8" applyFont="1" applyBorder="1" applyAlignment="1" applyProtection="1">
      <alignment wrapText="1"/>
    </xf>
    <xf numFmtId="0" fontId="6" fillId="0" borderId="19" xfId="8" applyFont="1" applyFill="1" applyBorder="1" applyProtection="1"/>
    <xf numFmtId="0" fontId="6" fillId="0" borderId="19" xfId="8" applyFont="1" applyFill="1" applyBorder="1" applyAlignment="1" applyProtection="1">
      <alignment horizontal="left" vertical="center"/>
    </xf>
    <xf numFmtId="0" fontId="6" fillId="0" borderId="19" xfId="8" applyFont="1" applyFill="1" applyBorder="1" applyAlignment="1" applyProtection="1">
      <alignment wrapText="1"/>
    </xf>
    <xf numFmtId="0" fontId="6" fillId="5" borderId="19" xfId="0" applyFont="1" applyFill="1" applyBorder="1" applyAlignment="1" applyProtection="1">
      <alignment vertical="center" wrapText="1"/>
    </xf>
    <xf numFmtId="43" fontId="6" fillId="7" borderId="19" xfId="1" applyFont="1" applyFill="1" applyBorder="1" applyAlignment="1" applyProtection="1">
      <alignment vertical="center" wrapText="1"/>
    </xf>
    <xf numFmtId="0" fontId="6" fillId="5" borderId="19" xfId="0" applyFont="1" applyFill="1" applyBorder="1" applyAlignment="1" applyProtection="1">
      <alignment horizontal="center" vertical="center" wrapText="1"/>
    </xf>
    <xf numFmtId="0" fontId="6" fillId="5" borderId="19" xfId="0" applyFont="1" applyFill="1" applyBorder="1" applyAlignment="1">
      <alignment vertical="center" wrapText="1"/>
    </xf>
    <xf numFmtId="0" fontId="6" fillId="5" borderId="19" xfId="0" applyFont="1" applyFill="1" applyBorder="1" applyAlignment="1">
      <alignment horizontal="center" vertical="center" wrapText="1"/>
    </xf>
    <xf numFmtId="0" fontId="6" fillId="5" borderId="19" xfId="0" applyFont="1" applyFill="1" applyBorder="1" applyAlignment="1">
      <alignment horizontal="left" vertical="center" wrapText="1"/>
    </xf>
    <xf numFmtId="0" fontId="6" fillId="5" borderId="19" xfId="3" applyFont="1" applyFill="1" applyBorder="1" applyAlignment="1">
      <alignment vertical="center" wrapText="1"/>
    </xf>
    <xf numFmtId="0" fontId="6" fillId="5" borderId="19" xfId="6" applyFont="1" applyFill="1" applyBorder="1" applyAlignment="1">
      <alignment horizontal="left" vertical="center"/>
    </xf>
    <xf numFmtId="0" fontId="6" fillId="0" borderId="19" xfId="0" applyFont="1" applyFill="1" applyBorder="1" applyAlignment="1">
      <alignment horizontal="center" vertical="center" wrapText="1"/>
    </xf>
    <xf numFmtId="0" fontId="18" fillId="5" borderId="19" xfId="6" applyFont="1" applyFill="1" applyBorder="1" applyAlignment="1">
      <alignment horizontal="left" vertical="center"/>
    </xf>
    <xf numFmtId="43" fontId="6" fillId="0" borderId="19" xfId="1" applyFont="1" applyFill="1" applyBorder="1" applyAlignment="1" applyProtection="1">
      <alignment vertical="center" wrapText="1"/>
    </xf>
    <xf numFmtId="0" fontId="6" fillId="5" borderId="29" xfId="0" applyFont="1" applyFill="1" applyBorder="1" applyAlignment="1" applyProtection="1">
      <alignment horizontal="left" vertical="center" wrapText="1"/>
    </xf>
    <xf numFmtId="0" fontId="6" fillId="5" borderId="19" xfId="3" applyFont="1" applyFill="1" applyBorder="1" applyAlignment="1" applyProtection="1">
      <alignment vertical="center" wrapText="1"/>
    </xf>
    <xf numFmtId="0" fontId="18" fillId="5" borderId="19" xfId="6" applyFont="1" applyFill="1" applyBorder="1" applyAlignment="1" applyProtection="1">
      <alignment horizontal="left" vertical="center"/>
    </xf>
    <xf numFmtId="0" fontId="6" fillId="0" borderId="19" xfId="4" applyFont="1" applyBorder="1" applyAlignment="1" applyProtection="1">
      <alignment vertical="center"/>
    </xf>
    <xf numFmtId="0" fontId="6" fillId="0" borderId="19" xfId="4" applyFont="1" applyFill="1" applyBorder="1" applyAlignment="1" applyProtection="1">
      <alignment vertical="center" wrapText="1"/>
    </xf>
    <xf numFmtId="0" fontId="6" fillId="0" borderId="19" xfId="8" applyFont="1" applyBorder="1" applyAlignment="1" applyProtection="1">
      <alignment horizontal="left" vertical="center" wrapText="1"/>
    </xf>
    <xf numFmtId="0" fontId="18" fillId="0" borderId="19" xfId="0" applyFont="1" applyFill="1" applyBorder="1" applyAlignment="1" applyProtection="1">
      <alignment horizontal="center" vertical="center" wrapText="1"/>
    </xf>
    <xf numFmtId="0" fontId="0" fillId="0" borderId="0" xfId="0" applyFill="1"/>
    <xf numFmtId="0" fontId="18" fillId="0" borderId="19" xfId="6" applyFont="1" applyFill="1" applyBorder="1" applyAlignment="1" applyProtection="1">
      <alignment horizontal="left" vertical="center" wrapText="1"/>
    </xf>
    <xf numFmtId="0" fontId="6" fillId="6" borderId="19" xfId="6" applyFont="1" applyFill="1" applyBorder="1" applyAlignment="1" applyProtection="1">
      <alignment horizontal="left" vertical="center" wrapText="1"/>
    </xf>
    <xf numFmtId="0" fontId="6" fillId="0" borderId="19" xfId="6" applyFont="1" applyBorder="1" applyAlignment="1" applyProtection="1">
      <alignment horizontal="left" vertical="center" wrapText="1"/>
    </xf>
    <xf numFmtId="0" fontId="6" fillId="7" borderId="19" xfId="6" applyFont="1" applyFill="1" applyBorder="1" applyAlignment="1" applyProtection="1">
      <alignment horizontal="left" vertical="center" wrapText="1"/>
    </xf>
    <xf numFmtId="0" fontId="6" fillId="0" borderId="19" xfId="6" applyFont="1" applyFill="1" applyBorder="1" applyAlignment="1" applyProtection="1">
      <alignment horizontal="center" vertical="center" wrapText="1"/>
    </xf>
    <xf numFmtId="0" fontId="15" fillId="6" borderId="19" xfId="6" applyFont="1" applyFill="1" applyBorder="1" applyAlignment="1" applyProtection="1">
      <alignment horizontal="left" vertical="center" wrapText="1"/>
    </xf>
    <xf numFmtId="0" fontId="6" fillId="0" borderId="19" xfId="10" applyFont="1" applyFill="1" applyBorder="1" applyAlignment="1" applyProtection="1">
      <alignment horizontal="left" vertical="center" wrapText="1"/>
    </xf>
    <xf numFmtId="0" fontId="23" fillId="9" borderId="19" xfId="0" applyNumberFormat="1" applyFont="1" applyFill="1" applyBorder="1" applyAlignment="1" applyProtection="1">
      <alignment horizontal="left" vertical="center"/>
    </xf>
    <xf numFmtId="0" fontId="6" fillId="0" borderId="19" xfId="0" applyNumberFormat="1" applyFont="1" applyFill="1" applyBorder="1" applyAlignment="1" applyProtection="1">
      <alignment horizontal="center" vertical="center" wrapText="1"/>
    </xf>
    <xf numFmtId="0" fontId="18" fillId="0" borderId="19" xfId="5" applyFont="1" applyFill="1" applyBorder="1" applyAlignment="1" applyProtection="1">
      <alignment horizontal="left" vertical="center" wrapText="1"/>
    </xf>
    <xf numFmtId="0" fontId="23" fillId="9" borderId="19" xfId="6" applyNumberFormat="1" applyFont="1" applyFill="1" applyBorder="1" applyAlignment="1" applyProtection="1">
      <alignment horizontal="left" vertical="center"/>
    </xf>
    <xf numFmtId="0" fontId="15" fillId="5" borderId="19" xfId="0" applyFont="1" applyFill="1" applyBorder="1" applyAlignment="1" applyProtection="1">
      <alignment horizontal="center" vertical="center" wrapText="1"/>
    </xf>
    <xf numFmtId="0" fontId="6" fillId="0" borderId="30" xfId="3" applyFont="1" applyFill="1" applyBorder="1" applyAlignment="1" applyProtection="1">
      <alignment vertical="center" wrapText="1"/>
    </xf>
    <xf numFmtId="0" fontId="6" fillId="0" borderId="30" xfId="5" applyFont="1" applyFill="1" applyBorder="1" applyAlignment="1" applyProtection="1">
      <alignment horizontal="left" vertical="center" wrapText="1"/>
    </xf>
    <xf numFmtId="0" fontId="18" fillId="0" borderId="31" xfId="5" applyFont="1" applyFill="1" applyBorder="1" applyAlignment="1" applyProtection="1">
      <alignment horizontal="left" vertical="center" wrapText="1"/>
    </xf>
    <xf numFmtId="0" fontId="18" fillId="0" borderId="32" xfId="5" applyFont="1" applyFill="1" applyBorder="1" applyAlignment="1" applyProtection="1">
      <alignment horizontal="left" vertical="center" wrapText="1"/>
    </xf>
    <xf numFmtId="0" fontId="18" fillId="0" borderId="32" xfId="0" applyFont="1" applyFill="1" applyBorder="1" applyAlignment="1" applyProtection="1">
      <alignment horizontal="left" vertical="center" wrapText="1"/>
    </xf>
    <xf numFmtId="0" fontId="15" fillId="5" borderId="19" xfId="6" applyFont="1" applyFill="1" applyBorder="1" applyAlignment="1" applyProtection="1">
      <alignment horizontal="left" vertical="center" wrapText="1"/>
    </xf>
    <xf numFmtId="0" fontId="6" fillId="5" borderId="19" xfId="6" applyFont="1" applyFill="1" applyBorder="1" applyAlignment="1" applyProtection="1">
      <alignment horizontal="left" vertical="center" wrapText="1"/>
    </xf>
    <xf numFmtId="0" fontId="15" fillId="5" borderId="19" xfId="4" applyFont="1" applyFill="1" applyBorder="1" applyAlignment="1" applyProtection="1">
      <alignment horizontal="left" vertical="center" wrapText="1"/>
    </xf>
    <xf numFmtId="0" fontId="6" fillId="5" borderId="19" xfId="4" applyFont="1" applyFill="1" applyBorder="1" applyAlignment="1" applyProtection="1">
      <alignment horizontal="center" vertical="center" wrapText="1"/>
    </xf>
    <xf numFmtId="0" fontId="15" fillId="6" borderId="19" xfId="0" applyFont="1" applyFill="1" applyBorder="1" applyAlignment="1" applyProtection="1">
      <alignment horizontal="left" vertical="center" wrapText="1"/>
    </xf>
    <xf numFmtId="0" fontId="6" fillId="0" borderId="19" xfId="11" applyFont="1" applyFill="1" applyBorder="1" applyAlignment="1" applyProtection="1">
      <alignment horizontal="left" vertical="center" wrapText="1"/>
    </xf>
    <xf numFmtId="0" fontId="6" fillId="0" borderId="19" xfId="6" applyFont="1" applyFill="1" applyBorder="1" applyAlignment="1" applyProtection="1">
      <alignment horizontal="left" vertical="center"/>
    </xf>
    <xf numFmtId="0" fontId="6" fillId="0" borderId="10" xfId="0" applyFont="1" applyFill="1" applyBorder="1" applyAlignment="1" applyProtection="1">
      <alignment horizontal="left" vertical="center" wrapText="1"/>
    </xf>
    <xf numFmtId="0" fontId="6" fillId="6" borderId="11" xfId="0" applyFont="1" applyFill="1" applyBorder="1" applyAlignment="1" applyProtection="1">
      <alignment horizontal="left" vertical="center" wrapText="1"/>
    </xf>
    <xf numFmtId="0" fontId="6" fillId="6" borderId="33" xfId="0" applyFont="1" applyFill="1" applyBorder="1" applyAlignment="1" applyProtection="1">
      <alignment horizontal="left" vertical="center" wrapText="1"/>
    </xf>
    <xf numFmtId="0" fontId="6" fillId="0" borderId="19" xfId="5" applyFont="1" applyFill="1" applyBorder="1" applyAlignment="1" applyProtection="1">
      <alignment horizontal="center" vertical="center" wrapText="1"/>
    </xf>
    <xf numFmtId="0" fontId="6" fillId="7" borderId="19" xfId="7" applyFont="1" applyFill="1" applyBorder="1" applyAlignment="1" applyProtection="1">
      <alignment horizontal="left" vertical="center" wrapText="1"/>
    </xf>
    <xf numFmtId="0" fontId="18" fillId="0" borderId="19" xfId="4" applyFont="1" applyFill="1" applyBorder="1" applyAlignment="1" applyProtection="1">
      <alignment horizontal="left" vertical="center" wrapText="1"/>
    </xf>
    <xf numFmtId="0" fontId="6" fillId="0" borderId="19" xfId="12" applyFont="1" applyFill="1" applyBorder="1" applyAlignment="1" applyProtection="1">
      <alignment horizontal="left" vertical="center" wrapText="1"/>
    </xf>
    <xf numFmtId="0" fontId="6" fillId="0" borderId="19" xfId="13" applyFont="1" applyFill="1" applyBorder="1" applyAlignment="1" applyProtection="1">
      <alignment horizontal="left" vertical="center" wrapText="1"/>
    </xf>
    <xf numFmtId="0" fontId="6" fillId="0" borderId="19" xfId="14" applyFont="1" applyFill="1" applyBorder="1" applyAlignment="1" applyProtection="1">
      <alignment horizontal="left" vertical="center" wrapText="1"/>
    </xf>
    <xf numFmtId="0" fontId="6" fillId="7" borderId="19" xfId="12" applyFont="1" applyFill="1" applyBorder="1" applyAlignment="1" applyProtection="1">
      <alignment horizontal="left" vertical="center" wrapText="1"/>
    </xf>
    <xf numFmtId="0" fontId="6" fillId="0" borderId="19" xfId="12" applyFont="1" applyFill="1" applyBorder="1" applyAlignment="1" applyProtection="1">
      <alignment horizontal="center" vertical="center" wrapText="1"/>
    </xf>
    <xf numFmtId="0" fontId="18" fillId="0" borderId="19" xfId="8" applyFont="1" applyFill="1" applyBorder="1" applyAlignment="1" applyProtection="1">
      <alignment horizontal="left" vertical="center" wrapText="1"/>
    </xf>
    <xf numFmtId="0" fontId="18" fillId="0" borderId="19" xfId="5" applyFont="1" applyFill="1" applyBorder="1" applyAlignment="1" applyProtection="1">
      <alignment horizontal="left" vertical="center"/>
    </xf>
    <xf numFmtId="0" fontId="15" fillId="0" borderId="19" xfId="7" applyFont="1" applyFill="1" applyBorder="1" applyAlignment="1" applyProtection="1">
      <alignment horizontal="left" vertical="center" wrapText="1"/>
    </xf>
    <xf numFmtId="0" fontId="15" fillId="0" borderId="19" xfId="6" applyFont="1" applyFill="1" applyBorder="1" applyAlignment="1" applyProtection="1">
      <alignment horizontal="left" vertical="center" wrapText="1"/>
    </xf>
    <xf numFmtId="0" fontId="24" fillId="0" borderId="33" xfId="0" applyFont="1" applyBorder="1" applyAlignment="1">
      <alignment horizontal="left" vertical="center"/>
    </xf>
    <xf numFmtId="0" fontId="6" fillId="0" borderId="19" xfId="4" applyFont="1" applyFill="1" applyBorder="1" applyAlignment="1" applyProtection="1">
      <alignment vertical="center"/>
    </xf>
    <xf numFmtId="0" fontId="6" fillId="5" borderId="19" xfId="10" applyFont="1" applyFill="1" applyBorder="1" applyAlignment="1" applyProtection="1">
      <alignment horizontal="center" vertical="center" wrapText="1"/>
    </xf>
    <xf numFmtId="0" fontId="6" fillId="5" borderId="19" xfId="10" applyFont="1" applyFill="1" applyBorder="1" applyAlignment="1" applyProtection="1">
      <alignment horizontal="left" vertical="center" wrapText="1"/>
    </xf>
    <xf numFmtId="0" fontId="6" fillId="0" borderId="19" xfId="10" applyFont="1" applyFill="1" applyBorder="1" applyAlignment="1" applyProtection="1">
      <alignment horizontal="center" vertical="center" wrapText="1"/>
    </xf>
    <xf numFmtId="0" fontId="6" fillId="5" borderId="19" xfId="5" applyFont="1" applyFill="1" applyBorder="1" applyAlignment="1" applyProtection="1">
      <alignment horizontal="left" vertical="center" wrapText="1"/>
    </xf>
    <xf numFmtId="0" fontId="24" fillId="0" borderId="19" xfId="0" applyFont="1" applyBorder="1" applyAlignment="1">
      <alignment wrapText="1"/>
    </xf>
    <xf numFmtId="0" fontId="6" fillId="0" borderId="0" xfId="0" applyFont="1" applyAlignment="1" applyProtection="1">
      <alignment horizontal="left" vertical="center" wrapText="1"/>
      <protection locked="0"/>
    </xf>
    <xf numFmtId="0" fontId="6" fillId="0" borderId="0" xfId="0" applyFont="1" applyAlignment="1" applyProtection="1">
      <alignment horizontal="center" vertical="center" wrapText="1"/>
      <protection locked="0"/>
    </xf>
    <xf numFmtId="0" fontId="0" fillId="0" borderId="0" xfId="0" applyAlignment="1" applyProtection="1">
      <alignment horizontal="left"/>
      <protection locked="0"/>
    </xf>
    <xf numFmtId="0" fontId="24" fillId="0" borderId="0" xfId="0" applyFont="1" applyAlignment="1" applyProtection="1">
      <alignment horizontal="right"/>
      <protection locked="0"/>
    </xf>
    <xf numFmtId="3" fontId="20" fillId="10" borderId="34" xfId="0" applyNumberFormat="1" applyFont="1" applyFill="1" applyBorder="1" applyAlignment="1" applyProtection="1">
      <alignment horizontal="left" vertical="center" wrapText="1"/>
      <protection locked="0"/>
    </xf>
    <xf numFmtId="0" fontId="0" fillId="0" borderId="0" xfId="0" applyProtection="1">
      <protection hidden="1"/>
    </xf>
    <xf numFmtId="0" fontId="0" fillId="0" borderId="0" xfId="0" applyAlignment="1" applyProtection="1">
      <alignment horizontal="center"/>
      <protection locked="0"/>
    </xf>
    <xf numFmtId="0" fontId="17" fillId="0" borderId="34" xfId="0" applyFont="1" applyFill="1" applyBorder="1" applyAlignment="1" applyProtection="1">
      <alignment horizontal="left"/>
      <protection locked="0"/>
    </xf>
    <xf numFmtId="3" fontId="20" fillId="0" borderId="34" xfId="0" applyNumberFormat="1" applyFont="1" applyFill="1" applyBorder="1" applyAlignment="1" applyProtection="1">
      <alignment horizontal="left" vertical="center" wrapText="1"/>
      <protection locked="0"/>
    </xf>
    <xf numFmtId="164" fontId="17" fillId="0" borderId="34" xfId="2" applyNumberFormat="1" applyFont="1" applyFill="1" applyBorder="1" applyAlignment="1" applyProtection="1">
      <alignment horizontal="center"/>
      <protection locked="0"/>
    </xf>
    <xf numFmtId="0" fontId="6" fillId="0" borderId="19" xfId="13" applyFont="1" applyBorder="1" applyAlignment="1">
      <alignment horizontal="left" vertical="center" wrapText="1"/>
    </xf>
    <xf numFmtId="0" fontId="6" fillId="0" borderId="19" xfId="14" applyFont="1" applyFill="1" applyBorder="1" applyAlignment="1">
      <alignment horizontal="left" vertical="center" wrapText="1"/>
    </xf>
    <xf numFmtId="0" fontId="18" fillId="0" borderId="19" xfId="3" applyFont="1" applyFill="1" applyBorder="1" applyAlignment="1">
      <alignment vertical="center" wrapText="1"/>
    </xf>
    <xf numFmtId="0" fontId="6" fillId="0" borderId="19" xfId="7" applyFont="1" applyFill="1" applyBorder="1" applyAlignment="1">
      <alignment horizontal="left" vertical="center" wrapText="1"/>
    </xf>
    <xf numFmtId="0" fontId="6" fillId="7" borderId="19" xfId="14" applyFont="1" applyFill="1" applyBorder="1" applyAlignment="1">
      <alignment horizontal="left" vertical="center" wrapText="1"/>
    </xf>
    <xf numFmtId="0" fontId="6" fillId="6" borderId="19" xfId="13" applyFont="1" applyFill="1" applyBorder="1" applyAlignment="1">
      <alignment horizontal="left" vertical="center" wrapText="1"/>
    </xf>
    <xf numFmtId="0" fontId="6" fillId="6" borderId="19" xfId="8" applyFont="1" applyFill="1" applyBorder="1" applyAlignment="1">
      <alignment horizontal="left" vertical="center" wrapText="1"/>
    </xf>
    <xf numFmtId="0" fontId="6" fillId="0" borderId="19" xfId="14" applyFont="1" applyFill="1" applyBorder="1" applyAlignment="1">
      <alignment horizontal="center" vertical="center" wrapText="1"/>
    </xf>
    <xf numFmtId="0" fontId="18" fillId="0" borderId="19" xfId="14" applyFont="1" applyFill="1" applyBorder="1" applyAlignment="1">
      <alignment horizontal="center" vertical="center" wrapText="1"/>
    </xf>
    <xf numFmtId="0" fontId="6" fillId="0" borderId="19" xfId="12" applyFont="1" applyFill="1" applyBorder="1" applyAlignment="1">
      <alignment horizontal="left" vertical="center" wrapText="1"/>
    </xf>
    <xf numFmtId="0" fontId="6" fillId="7" borderId="19" xfId="12" applyFont="1" applyFill="1" applyBorder="1" applyAlignment="1">
      <alignment horizontal="left" vertical="center" wrapText="1"/>
    </xf>
    <xf numFmtId="0" fontId="6" fillId="0" borderId="19" xfId="8" applyFont="1" applyFill="1" applyBorder="1" applyAlignment="1">
      <alignment horizontal="left" vertical="center" wrapText="1"/>
    </xf>
    <xf numFmtId="0" fontId="6" fillId="0" borderId="19" xfId="8" applyFont="1" applyFill="1" applyBorder="1" applyAlignment="1">
      <alignment horizontal="center" vertical="center" wrapText="1"/>
    </xf>
    <xf numFmtId="0" fontId="18" fillId="0" borderId="19" xfId="8" applyFont="1" applyFill="1" applyBorder="1" applyAlignment="1">
      <alignment horizontal="center" vertical="center" wrapText="1"/>
    </xf>
    <xf numFmtId="0" fontId="15" fillId="6" borderId="19" xfId="13" applyFont="1" applyFill="1" applyBorder="1" applyAlignment="1">
      <alignment horizontal="left" vertical="center" wrapText="1"/>
    </xf>
    <xf numFmtId="0" fontId="6" fillId="0" borderId="19" xfId="13" applyFont="1" applyFill="1" applyBorder="1" applyAlignment="1">
      <alignment horizontal="left" vertical="center" wrapText="1"/>
    </xf>
    <xf numFmtId="0" fontId="15" fillId="0" borderId="19" xfId="0" applyFont="1" applyFill="1" applyBorder="1" applyAlignment="1">
      <alignment horizontal="left" vertical="center" wrapText="1"/>
    </xf>
    <xf numFmtId="0" fontId="15" fillId="0" borderId="19" xfId="7" applyFont="1" applyFill="1" applyBorder="1" applyAlignment="1">
      <alignment horizontal="left" vertical="center" wrapText="1"/>
    </xf>
    <xf numFmtId="0" fontId="15" fillId="0" borderId="19" xfId="4" applyFont="1" applyFill="1" applyBorder="1" applyAlignment="1">
      <alignment horizontal="left" vertical="center" wrapText="1"/>
    </xf>
    <xf numFmtId="0" fontId="15" fillId="7" borderId="19" xfId="0" applyFont="1" applyFill="1" applyBorder="1" applyAlignment="1">
      <alignment horizontal="left" vertical="center" wrapText="1"/>
    </xf>
    <xf numFmtId="0" fontId="15" fillId="0" borderId="19" xfId="0" applyFont="1" applyFill="1" applyBorder="1" applyAlignment="1">
      <alignment horizontal="center" vertical="center" wrapText="1"/>
    </xf>
    <xf numFmtId="0" fontId="27" fillId="0" borderId="19" xfId="6" applyFont="1" applyFill="1" applyBorder="1" applyAlignment="1">
      <alignment horizontal="left" vertical="center" wrapText="1"/>
    </xf>
    <xf numFmtId="0" fontId="18" fillId="0" borderId="19" xfId="6" applyFont="1" applyFill="1" applyBorder="1" applyAlignment="1">
      <alignment horizontal="center" vertical="center" wrapText="1"/>
    </xf>
    <xf numFmtId="0" fontId="0" fillId="0" borderId="0" xfId="0" applyAlignment="1">
      <alignment horizontal="center"/>
    </xf>
    <xf numFmtId="0" fontId="6" fillId="0" borderId="19" xfId="3" applyFont="1" applyFill="1" applyBorder="1" applyAlignment="1">
      <alignment vertical="center" wrapText="1"/>
    </xf>
    <xf numFmtId="0" fontId="6" fillId="6" borderId="19" xfId="13" applyFont="1" applyFill="1" applyBorder="1" applyAlignment="1">
      <alignment horizontal="center" vertical="center" wrapText="1"/>
    </xf>
    <xf numFmtId="0" fontId="18" fillId="0" borderId="19" xfId="14" applyFont="1" applyFill="1" applyBorder="1" applyAlignment="1">
      <alignment horizontal="left" vertical="center" wrapText="1"/>
    </xf>
    <xf numFmtId="0" fontId="6" fillId="0" borderId="19" xfId="0" applyFont="1" applyFill="1" applyBorder="1" applyAlignment="1">
      <alignment horizontal="left" vertical="center" wrapText="1"/>
    </xf>
    <xf numFmtId="0" fontId="6" fillId="0" borderId="19" xfId="4" applyFont="1" applyFill="1" applyBorder="1" applyAlignment="1">
      <alignment horizontal="left" vertical="center" wrapText="1"/>
    </xf>
    <xf numFmtId="0" fontId="6" fillId="7" borderId="19" xfId="0" applyFont="1" applyFill="1" applyBorder="1" applyAlignment="1">
      <alignment horizontal="left" vertical="center" wrapText="1"/>
    </xf>
    <xf numFmtId="0" fontId="6" fillId="0" borderId="19" xfId="0" applyFont="1" applyFill="1" applyBorder="1" applyAlignment="1">
      <alignment vertical="center" wrapText="1"/>
    </xf>
    <xf numFmtId="0" fontId="6" fillId="0" borderId="19" xfId="17" applyFont="1" applyFill="1" applyBorder="1" applyAlignment="1">
      <alignment vertical="center" wrapText="1"/>
    </xf>
    <xf numFmtId="0" fontId="6" fillId="6" borderId="19" xfId="0" applyFont="1" applyFill="1" applyBorder="1" applyAlignment="1">
      <alignment horizontal="left" vertical="center" wrapText="1"/>
    </xf>
    <xf numFmtId="0" fontId="29" fillId="6" borderId="19" xfId="0" applyFont="1" applyFill="1" applyBorder="1" applyAlignment="1">
      <alignment horizontal="left" vertical="center" wrapText="1"/>
    </xf>
    <xf numFmtId="0" fontId="30" fillId="8" borderId="19" xfId="0" applyFont="1" applyFill="1" applyBorder="1" applyAlignment="1">
      <alignment horizontal="center" vertical="center" wrapText="1"/>
    </xf>
    <xf numFmtId="0" fontId="31" fillId="0" borderId="0" xfId="0" applyFont="1"/>
    <xf numFmtId="0" fontId="0" fillId="0" borderId="0" xfId="0" applyAlignment="1">
      <alignment vertical="center"/>
    </xf>
    <xf numFmtId="0" fontId="0" fillId="11" borderId="0" xfId="0" applyFill="1"/>
    <xf numFmtId="0" fontId="0" fillId="12" borderId="0" xfId="0" applyFill="1"/>
    <xf numFmtId="0" fontId="15" fillId="0" borderId="19" xfId="14" applyFont="1" applyFill="1" applyBorder="1" applyAlignment="1">
      <alignment horizontal="left" vertical="center" wrapText="1"/>
    </xf>
    <xf numFmtId="0" fontId="15" fillId="0" borderId="19" xfId="14" applyFont="1" applyFill="1" applyBorder="1" applyAlignment="1">
      <alignment horizontal="center" vertical="center" wrapText="1"/>
    </xf>
    <xf numFmtId="0" fontId="15" fillId="0" borderId="19" xfId="12" applyFont="1" applyFill="1" applyBorder="1" applyAlignment="1">
      <alignment horizontal="left" vertical="center" wrapText="1"/>
    </xf>
    <xf numFmtId="0" fontId="15" fillId="0" borderId="19" xfId="12" applyFont="1" applyFill="1" applyBorder="1" applyAlignment="1">
      <alignment horizontal="center" vertical="center" wrapText="1"/>
    </xf>
    <xf numFmtId="0" fontId="15" fillId="0" borderId="19" xfId="8" applyFont="1" applyFill="1" applyBorder="1" applyAlignment="1">
      <alignment horizontal="left" vertical="center" wrapText="1"/>
    </xf>
    <xf numFmtId="0" fontId="15" fillId="0" borderId="19" xfId="8" applyFont="1" applyFill="1" applyBorder="1" applyAlignment="1">
      <alignment horizontal="center" vertical="center" wrapText="1"/>
    </xf>
    <xf numFmtId="0" fontId="15" fillId="0" borderId="19" xfId="13" applyFont="1" applyFill="1" applyBorder="1" applyAlignment="1">
      <alignment horizontal="left" vertical="center" wrapText="1"/>
    </xf>
    <xf numFmtId="0" fontId="15" fillId="0" borderId="19" xfId="15" applyFont="1" applyFill="1" applyBorder="1" applyAlignment="1">
      <alignment horizontal="center" vertical="center" wrapText="1"/>
    </xf>
    <xf numFmtId="0" fontId="15" fillId="0" borderId="19" xfId="4" applyFont="1" applyFill="1" applyBorder="1" applyAlignment="1" applyProtection="1">
      <alignment horizontal="left" vertical="center" wrapText="1"/>
    </xf>
    <xf numFmtId="0" fontId="15" fillId="0" borderId="19" xfId="4" applyFont="1" applyFill="1" applyBorder="1" applyAlignment="1" applyProtection="1">
      <alignment horizontal="center" vertical="center" wrapText="1"/>
    </xf>
    <xf numFmtId="0" fontId="15" fillId="0" borderId="19" xfId="0" applyFont="1" applyBorder="1" applyAlignment="1" applyProtection="1">
      <alignment horizontal="left" vertical="center" wrapText="1"/>
    </xf>
    <xf numFmtId="0" fontId="6" fillId="0" borderId="19" xfId="0" applyFont="1" applyFill="1" applyBorder="1" applyAlignment="1" applyProtection="1">
      <alignment horizontal="left" vertical="center" wrapText="1"/>
      <protection locked="0"/>
    </xf>
    <xf numFmtId="0" fontId="6" fillId="0" borderId="19" xfId="0" applyFont="1" applyFill="1" applyBorder="1" applyAlignment="1" applyProtection="1">
      <alignment horizontal="center" vertical="center" wrapText="1"/>
      <protection locked="0"/>
    </xf>
    <xf numFmtId="0" fontId="15" fillId="0" borderId="19" xfId="0" applyFont="1" applyFill="1" applyBorder="1" applyAlignment="1" applyProtection="1">
      <alignment horizontal="left" vertical="center" wrapText="1"/>
      <protection locked="0"/>
    </xf>
    <xf numFmtId="0" fontId="6" fillId="7" borderId="19" xfId="0" applyFont="1" applyFill="1" applyBorder="1" applyAlignment="1" applyProtection="1">
      <alignment horizontal="left" vertical="center" wrapText="1"/>
      <protection locked="0"/>
    </xf>
    <xf numFmtId="0" fontId="6" fillId="6" borderId="19" xfId="0" applyFont="1" applyFill="1" applyBorder="1" applyAlignment="1" applyProtection="1">
      <alignment horizontal="left" vertical="center" wrapText="1"/>
      <protection locked="0"/>
    </xf>
    <xf numFmtId="0" fontId="6" fillId="5" borderId="19" xfId="0" applyFont="1" applyFill="1" applyBorder="1" applyAlignment="1" applyProtection="1">
      <alignment horizontal="left" vertical="center" wrapText="1"/>
      <protection locked="0"/>
    </xf>
    <xf numFmtId="0" fontId="15" fillId="0" borderId="19" xfId="0" applyFont="1" applyFill="1" applyBorder="1" applyAlignment="1" applyProtection="1">
      <alignment horizontal="center" vertical="center" wrapText="1"/>
      <protection locked="0"/>
    </xf>
    <xf numFmtId="0" fontId="6" fillId="0" borderId="19" xfId="0" applyFont="1" applyFill="1" applyBorder="1" applyAlignment="1" applyProtection="1">
      <alignment vertical="center" wrapText="1"/>
      <protection locked="0"/>
    </xf>
    <xf numFmtId="0" fontId="6" fillId="0" borderId="19" xfId="8" applyFont="1" applyFill="1" applyBorder="1" applyAlignment="1" applyProtection="1">
      <alignment horizontal="left" vertical="center" wrapText="1"/>
      <protection locked="0"/>
    </xf>
    <xf numFmtId="0" fontId="6" fillId="6" borderId="19" xfId="8" applyFont="1" applyFill="1" applyBorder="1" applyAlignment="1" applyProtection="1">
      <alignment horizontal="left" vertical="center" wrapText="1"/>
      <protection locked="0"/>
    </xf>
    <xf numFmtId="0" fontId="6" fillId="0" borderId="19" xfId="8" applyFont="1" applyFill="1" applyBorder="1" applyAlignment="1" applyProtection="1">
      <alignment horizontal="center" vertical="center" wrapText="1"/>
      <protection locked="0"/>
    </xf>
    <xf numFmtId="0" fontId="15" fillId="0" borderId="19" xfId="6" applyFont="1" applyFill="1" applyBorder="1" applyAlignment="1" applyProtection="1">
      <alignment horizontal="left" vertical="center"/>
      <protection locked="0"/>
    </xf>
    <xf numFmtId="0" fontId="6" fillId="7" borderId="19" xfId="8" applyFont="1" applyFill="1" applyBorder="1" applyAlignment="1" applyProtection="1">
      <alignment horizontal="left" vertical="center" wrapText="1"/>
      <protection locked="0"/>
    </xf>
    <xf numFmtId="0" fontId="6" fillId="0" borderId="29" xfId="0" applyFont="1" applyFill="1" applyBorder="1" applyAlignment="1" applyProtection="1">
      <alignment horizontal="left" vertical="center" wrapText="1"/>
      <protection locked="0"/>
    </xf>
    <xf numFmtId="0" fontId="6" fillId="0" borderId="29" xfId="0" applyFont="1" applyFill="1" applyBorder="1" applyAlignment="1" applyProtection="1">
      <alignment horizontal="center" vertical="center" wrapText="1"/>
      <protection locked="0"/>
    </xf>
    <xf numFmtId="0" fontId="6" fillId="7" borderId="29" xfId="4" applyFont="1" applyFill="1" applyBorder="1" applyAlignment="1" applyProtection="1">
      <alignment horizontal="left" vertical="center" wrapText="1"/>
      <protection locked="0"/>
    </xf>
    <xf numFmtId="0" fontId="6" fillId="0" borderId="29" xfId="4" applyFont="1" applyFill="1" applyBorder="1" applyAlignment="1" applyProtection="1">
      <alignment horizontal="left" vertical="center" wrapText="1"/>
      <protection locked="0"/>
    </xf>
    <xf numFmtId="0" fontId="6" fillId="0" borderId="29" xfId="4" applyFont="1" applyFill="1" applyBorder="1" applyAlignment="1" applyProtection="1">
      <alignment horizontal="center" vertical="center" wrapText="1"/>
      <protection locked="0"/>
    </xf>
    <xf numFmtId="0" fontId="6" fillId="0" borderId="29" xfId="9" applyFont="1" applyFill="1" applyBorder="1" applyAlignment="1" applyProtection="1">
      <alignment horizontal="left" vertical="center" wrapText="1"/>
      <protection locked="0"/>
    </xf>
    <xf numFmtId="0" fontId="6" fillId="0" borderId="29" xfId="0" applyFont="1" applyFill="1" applyBorder="1" applyAlignment="1" applyProtection="1">
      <alignment vertical="center" wrapText="1"/>
      <protection locked="0"/>
    </xf>
    <xf numFmtId="0" fontId="6" fillId="6" borderId="29" xfId="0" applyFont="1" applyFill="1" applyBorder="1" applyAlignment="1" applyProtection="1">
      <alignment horizontal="left" vertical="center" wrapText="1"/>
      <protection locked="0"/>
    </xf>
    <xf numFmtId="0" fontId="6" fillId="0" borderId="19" xfId="4" applyFont="1" applyFill="1" applyBorder="1" applyAlignment="1" applyProtection="1">
      <alignment horizontal="left" vertical="center" wrapText="1"/>
      <protection locked="0"/>
    </xf>
    <xf numFmtId="0" fontId="6" fillId="0" borderId="29" xfId="8" applyFont="1" applyFill="1" applyBorder="1" applyAlignment="1" applyProtection="1">
      <alignment horizontal="left" vertical="center" wrapText="1"/>
      <protection locked="0"/>
    </xf>
    <xf numFmtId="0" fontId="6" fillId="7" borderId="19" xfId="4" applyFont="1" applyFill="1" applyBorder="1" applyAlignment="1" applyProtection="1">
      <alignment horizontal="left" vertical="center" wrapText="1"/>
      <protection locked="0"/>
    </xf>
    <xf numFmtId="0" fontId="6" fillId="5" borderId="19" xfId="4" applyFont="1" applyFill="1" applyBorder="1" applyAlignment="1" applyProtection="1">
      <alignment horizontal="left" vertical="center" wrapText="1"/>
      <protection locked="0"/>
    </xf>
    <xf numFmtId="0" fontId="6" fillId="0" borderId="19" xfId="4" applyFont="1" applyFill="1" applyBorder="1" applyAlignment="1" applyProtection="1">
      <alignment horizontal="center" vertical="center" wrapText="1"/>
      <protection locked="0"/>
    </xf>
    <xf numFmtId="0" fontId="6" fillId="0" borderId="19" xfId="9" applyFont="1" applyFill="1" applyBorder="1" applyAlignment="1" applyProtection="1">
      <alignment horizontal="left" vertical="center" wrapText="1"/>
      <protection locked="0"/>
    </xf>
    <xf numFmtId="0" fontId="18" fillId="0" borderId="19" xfId="14" applyFont="1" applyFill="1" applyBorder="1" applyAlignment="1" applyProtection="1">
      <alignment horizontal="left" vertical="center" wrapText="1"/>
      <protection locked="0"/>
    </xf>
    <xf numFmtId="0" fontId="6" fillId="5" borderId="19" xfId="8" applyFont="1" applyFill="1" applyBorder="1" applyAlignment="1" applyProtection="1">
      <alignment horizontal="left" vertical="center" wrapText="1"/>
      <protection locked="0"/>
    </xf>
    <xf numFmtId="0" fontId="19" fillId="8" borderId="19" xfId="0" applyFont="1" applyFill="1" applyBorder="1" applyAlignment="1" applyProtection="1">
      <alignment vertical="center" wrapText="1"/>
      <protection locked="0"/>
    </xf>
    <xf numFmtId="0" fontId="19" fillId="0" borderId="19" xfId="0" applyFont="1" applyFill="1" applyBorder="1" applyAlignment="1" applyProtection="1">
      <alignment horizontal="center" vertical="center" wrapText="1"/>
      <protection locked="0"/>
    </xf>
    <xf numFmtId="0" fontId="11" fillId="7" borderId="19" xfId="4" applyFont="1" applyFill="1" applyBorder="1" applyAlignment="1" applyProtection="1">
      <alignment horizontal="left" vertical="center" wrapText="1"/>
    </xf>
    <xf numFmtId="0" fontId="11" fillId="0" borderId="19" xfId="4" applyFont="1" applyBorder="1" applyAlignment="1" applyProtection="1">
      <alignment vertical="center" wrapText="1"/>
    </xf>
    <xf numFmtId="0" fontId="11" fillId="7" borderId="0" xfId="0" applyFont="1" applyFill="1" applyAlignment="1" applyProtection="1">
      <alignment horizontal="left" wrapText="1"/>
    </xf>
    <xf numFmtId="0" fontId="21" fillId="0" borderId="19" xfId="0" applyFont="1" applyFill="1" applyBorder="1" applyAlignment="1" applyProtection="1">
      <alignment horizontal="left" vertical="center" wrapText="1"/>
    </xf>
    <xf numFmtId="0" fontId="15" fillId="0" borderId="19" xfId="3" applyFont="1" applyFill="1" applyBorder="1" applyAlignment="1" applyProtection="1">
      <alignment vertical="center" wrapText="1"/>
    </xf>
    <xf numFmtId="0" fontId="18" fillId="0" borderId="19" xfId="12" applyFont="1" applyFill="1" applyBorder="1" applyAlignment="1">
      <alignment horizontal="left" vertical="center" wrapText="1"/>
    </xf>
    <xf numFmtId="0" fontId="6" fillId="5" borderId="19" xfId="6" applyFont="1" applyFill="1" applyBorder="1" applyAlignment="1" applyProtection="1">
      <alignment vertical="center" wrapText="1"/>
      <protection locked="0"/>
    </xf>
    <xf numFmtId="0" fontId="6" fillId="5" borderId="19" xfId="6" applyFont="1" applyFill="1" applyBorder="1" applyAlignment="1" applyProtection="1">
      <alignment horizontal="center" vertical="center" wrapText="1"/>
      <protection locked="0"/>
    </xf>
    <xf numFmtId="43" fontId="20" fillId="5" borderId="19" xfId="1" applyFont="1" applyFill="1" applyBorder="1" applyAlignment="1">
      <alignment vertical="center" wrapText="1"/>
    </xf>
    <xf numFmtId="43" fontId="6" fillId="7" borderId="19" xfId="1" applyFont="1" applyFill="1" applyBorder="1" applyAlignment="1">
      <alignment vertical="center" wrapText="1"/>
    </xf>
    <xf numFmtId="0" fontId="16" fillId="0" borderId="19" xfId="7" applyFont="1" applyFill="1" applyBorder="1" applyAlignment="1" applyProtection="1">
      <alignment horizontal="left" vertical="center" wrapText="1"/>
    </xf>
    <xf numFmtId="0" fontId="16" fillId="5" borderId="19" xfId="4" applyFont="1" applyFill="1" applyBorder="1" applyAlignment="1" applyProtection="1">
      <alignment horizontal="left" vertical="center" wrapText="1"/>
    </xf>
    <xf numFmtId="0" fontId="16" fillId="0" borderId="19" xfId="7" applyFont="1" applyFill="1" applyBorder="1" applyAlignment="1" applyProtection="1">
      <alignment horizontal="center" vertical="center" wrapText="1"/>
    </xf>
    <xf numFmtId="0" fontId="32" fillId="0" borderId="19" xfId="6" applyFont="1" applyFill="1" applyBorder="1" applyAlignment="1" applyProtection="1">
      <alignment horizontal="left" vertical="center" wrapText="1"/>
    </xf>
    <xf numFmtId="0" fontId="32" fillId="0" borderId="19" xfId="6" applyFont="1" applyFill="1" applyBorder="1" applyAlignment="1" applyProtection="1">
      <alignment horizontal="left" vertical="center" wrapText="1"/>
      <protection locked="0"/>
    </xf>
    <xf numFmtId="0" fontId="11" fillId="0" borderId="19" xfId="0" applyFont="1" applyBorder="1" applyAlignment="1">
      <alignment horizontal="left" vertical="center" wrapText="1"/>
    </xf>
    <xf numFmtId="0" fontId="11" fillId="0" borderId="33" xfId="0" applyFont="1" applyBorder="1" applyAlignment="1">
      <alignment horizontal="left" vertical="center" wrapText="1"/>
    </xf>
    <xf numFmtId="0" fontId="6" fillId="5" borderId="19" xfId="4" applyFont="1" applyFill="1" applyBorder="1" applyAlignment="1" applyProtection="1">
      <alignment vertical="center"/>
    </xf>
    <xf numFmtId="0" fontId="15" fillId="6" borderId="19" xfId="0" applyFont="1" applyFill="1" applyBorder="1" applyAlignment="1" applyProtection="1">
      <alignment horizontal="left" vertical="center" wrapText="1"/>
      <protection locked="0"/>
    </xf>
    <xf numFmtId="0" fontId="15" fillId="5" borderId="19" xfId="0" applyFont="1" applyFill="1" applyBorder="1" applyAlignment="1" applyProtection="1">
      <alignment horizontal="left" vertical="center" wrapText="1"/>
      <protection locked="0"/>
    </xf>
    <xf numFmtId="0" fontId="15" fillId="0" borderId="29" xfId="4" applyFont="1" applyFill="1" applyBorder="1" applyAlignment="1" applyProtection="1">
      <alignment horizontal="left" vertical="center" wrapText="1"/>
      <protection locked="0"/>
    </xf>
    <xf numFmtId="0" fontId="15" fillId="6" borderId="19" xfId="8" applyFont="1" applyFill="1" applyBorder="1" applyAlignment="1" applyProtection="1">
      <alignment horizontal="left" vertical="center" wrapText="1"/>
      <protection locked="0"/>
    </xf>
    <xf numFmtId="0" fontId="11" fillId="0" borderId="0" xfId="0" applyFont="1" applyAlignment="1">
      <alignment wrapText="1"/>
    </xf>
    <xf numFmtId="0" fontId="11" fillId="0" borderId="0" xfId="0" applyFont="1"/>
    <xf numFmtId="0" fontId="35" fillId="0" borderId="19" xfId="0" applyFont="1" applyBorder="1" applyAlignment="1">
      <alignment horizontal="left" vertical="center" wrapText="1"/>
    </xf>
    <xf numFmtId="0" fontId="0" fillId="0" borderId="19" xfId="0" applyBorder="1" applyAlignment="1">
      <alignment horizontal="left" vertical="center"/>
    </xf>
    <xf numFmtId="0" fontId="0" fillId="0" borderId="19" xfId="0" applyBorder="1" applyAlignment="1">
      <alignment horizontal="left" vertical="center" wrapText="1"/>
    </xf>
    <xf numFmtId="0" fontId="0" fillId="0" borderId="19" xfId="0" applyFill="1" applyBorder="1" applyAlignment="1">
      <alignment horizontal="left" vertical="center" wrapText="1"/>
    </xf>
    <xf numFmtId="0" fontId="18" fillId="6" borderId="19" xfId="0" applyFont="1" applyFill="1" applyBorder="1" applyAlignment="1" applyProtection="1">
      <alignment horizontal="left" vertical="center" wrapText="1"/>
    </xf>
    <xf numFmtId="0" fontId="18" fillId="0" borderId="19" xfId="0" applyFont="1" applyFill="1" applyBorder="1" applyAlignment="1" applyProtection="1">
      <alignment horizontal="left" vertical="center" wrapText="1"/>
    </xf>
    <xf numFmtId="0" fontId="6" fillId="13" borderId="19" xfId="0" applyFont="1" applyFill="1" applyBorder="1" applyAlignment="1" applyProtection="1">
      <alignment horizontal="left" vertical="center" wrapText="1"/>
    </xf>
    <xf numFmtId="0" fontId="6" fillId="13" borderId="19" xfId="4" applyFont="1" applyFill="1" applyBorder="1" applyAlignment="1" applyProtection="1">
      <alignment horizontal="left" vertical="center" wrapText="1"/>
    </xf>
    <xf numFmtId="0" fontId="6" fillId="13" borderId="19" xfId="0" applyFont="1" applyFill="1" applyBorder="1" applyAlignment="1" applyProtection="1">
      <alignment horizontal="left" vertical="center" wrapText="1"/>
      <protection locked="0"/>
    </xf>
    <xf numFmtId="0" fontId="6" fillId="13" borderId="19" xfId="0" applyFont="1" applyFill="1" applyBorder="1" applyAlignment="1" applyProtection="1">
      <alignment horizontal="center" vertical="center" wrapText="1"/>
      <protection locked="0"/>
    </xf>
    <xf numFmtId="0" fontId="15" fillId="13" borderId="19" xfId="6" applyFont="1" applyFill="1" applyBorder="1" applyAlignment="1" applyProtection="1">
      <alignment horizontal="left" vertical="center" wrapText="1"/>
      <protection locked="0"/>
    </xf>
    <xf numFmtId="0" fontId="6" fillId="0" borderId="0" xfId="0" applyFont="1" applyAlignment="1">
      <alignment horizontal="center"/>
    </xf>
    <xf numFmtId="0" fontId="16" fillId="6" borderId="19" xfId="0" applyFont="1" applyFill="1" applyBorder="1" applyAlignment="1" applyProtection="1">
      <alignment horizontal="center" vertical="center" wrapText="1"/>
      <protection locked="0"/>
    </xf>
    <xf numFmtId="0" fontId="6" fillId="6" borderId="19" xfId="8" applyFont="1" applyFill="1" applyBorder="1" applyAlignment="1" applyProtection="1">
      <alignment horizontal="center" vertical="center" wrapText="1"/>
      <protection locked="0"/>
    </xf>
    <xf numFmtId="0" fontId="6" fillId="5" borderId="19" xfId="0" applyFont="1" applyFill="1" applyBorder="1" applyAlignment="1" applyProtection="1">
      <alignment horizontal="center" vertical="center" wrapText="1"/>
      <protection locked="0"/>
    </xf>
    <xf numFmtId="0" fontId="6" fillId="6" borderId="19"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locked="0"/>
    </xf>
    <xf numFmtId="0" fontId="6" fillId="6" borderId="29" xfId="0" applyFont="1" applyFill="1" applyBorder="1" applyAlignment="1" applyProtection="1">
      <alignment horizontal="center" vertical="center" wrapText="1"/>
      <protection locked="0"/>
    </xf>
    <xf numFmtId="0" fontId="6" fillId="0" borderId="19" xfId="3" applyFont="1" applyFill="1" applyBorder="1" applyAlignment="1" applyProtection="1">
      <alignment horizontal="center" vertical="center" wrapText="1"/>
      <protection locked="0"/>
    </xf>
    <xf numFmtId="0" fontId="15" fillId="0" borderId="19" xfId="0" applyFont="1" applyFill="1" applyBorder="1" applyAlignment="1" applyProtection="1">
      <alignment horizontal="center" vertical="center" wrapText="1"/>
    </xf>
    <xf numFmtId="0" fontId="15" fillId="13" borderId="19" xfId="0" applyFont="1" applyFill="1" applyBorder="1" applyAlignment="1" applyProtection="1">
      <alignment horizontal="center" vertical="center" wrapText="1"/>
      <protection locked="0"/>
    </xf>
    <xf numFmtId="0" fontId="15" fillId="0" borderId="19" xfId="5" applyFont="1" applyFill="1" applyBorder="1" applyAlignment="1" applyProtection="1">
      <alignment horizontal="left" vertical="center" wrapText="1"/>
    </xf>
    <xf numFmtId="0" fontId="15" fillId="0" borderId="19" xfId="0" applyFont="1" applyFill="1" applyBorder="1" applyAlignment="1" applyProtection="1">
      <alignment vertical="center" wrapText="1"/>
    </xf>
    <xf numFmtId="0" fontId="15" fillId="5" borderId="29" xfId="0" applyFont="1" applyFill="1" applyBorder="1" applyAlignment="1" applyProtection="1">
      <alignment horizontal="left" vertical="center" wrapText="1"/>
      <protection locked="0"/>
    </xf>
    <xf numFmtId="0" fontId="15" fillId="5" borderId="19" xfId="0" applyFont="1" applyFill="1" applyBorder="1" applyAlignment="1" applyProtection="1">
      <alignment horizontal="center" vertical="center" wrapText="1"/>
      <protection locked="0"/>
    </xf>
    <xf numFmtId="0" fontId="15" fillId="5" borderId="19" xfId="4" applyFont="1" applyFill="1" applyBorder="1" applyAlignment="1" applyProtection="1">
      <alignment horizontal="left" vertical="center" wrapText="1"/>
      <protection locked="0"/>
    </xf>
    <xf numFmtId="0" fontId="15" fillId="5" borderId="29" xfId="8" applyFont="1" applyFill="1" applyBorder="1" applyAlignment="1" applyProtection="1">
      <alignment horizontal="left" vertical="center" wrapText="1"/>
      <protection locked="0"/>
    </xf>
    <xf numFmtId="0" fontId="15" fillId="5" borderId="19" xfId="8" applyFont="1" applyFill="1" applyBorder="1" applyAlignment="1" applyProtection="1">
      <alignment horizontal="left" vertical="center" wrapText="1"/>
      <protection locked="0"/>
    </xf>
    <xf numFmtId="0" fontId="7" fillId="4" borderId="27" xfId="0" applyFont="1" applyFill="1" applyBorder="1" applyAlignment="1" applyProtection="1">
      <alignment horizontal="left" vertical="center" wrapText="1"/>
    </xf>
    <xf numFmtId="0" fontId="7" fillId="4" borderId="26" xfId="0" applyFont="1" applyFill="1" applyBorder="1" applyAlignment="1" applyProtection="1">
      <alignment horizontal="left" vertical="center" wrapText="1"/>
    </xf>
    <xf numFmtId="0" fontId="7" fillId="4" borderId="27" xfId="0" applyFont="1" applyFill="1" applyBorder="1" applyAlignment="1" applyProtection="1">
      <alignment horizontal="center" vertical="center" wrapText="1"/>
    </xf>
    <xf numFmtId="0" fontId="7" fillId="4" borderId="24" xfId="0" applyFont="1" applyFill="1" applyBorder="1" applyAlignment="1" applyProtection="1">
      <alignment horizontal="left" vertical="center" wrapText="1"/>
    </xf>
    <xf numFmtId="0" fontId="10" fillId="4" borderId="27" xfId="0" applyFont="1" applyFill="1" applyBorder="1" applyAlignment="1" applyProtection="1">
      <alignment horizontal="center" vertical="center" wrapText="1"/>
    </xf>
    <xf numFmtId="0" fontId="18" fillId="0" borderId="19" xfId="6" applyFont="1" applyFill="1" applyBorder="1" applyAlignment="1" applyProtection="1">
      <alignment horizontal="center" vertical="center" wrapText="1"/>
    </xf>
    <xf numFmtId="0" fontId="0" fillId="0" borderId="0" xfId="0" applyFont="1"/>
    <xf numFmtId="0" fontId="29" fillId="0" borderId="19" xfId="0" applyFont="1" applyFill="1" applyBorder="1" applyAlignment="1" applyProtection="1">
      <alignment vertical="center" wrapText="1"/>
    </xf>
    <xf numFmtId="0" fontId="29" fillId="0" borderId="19" xfId="3" applyFont="1" applyFill="1" applyBorder="1" applyAlignment="1" applyProtection="1">
      <alignment vertical="center" wrapText="1"/>
    </xf>
    <xf numFmtId="3" fontId="18" fillId="0" borderId="19" xfId="6" applyNumberFormat="1" applyFont="1" applyFill="1" applyBorder="1" applyAlignment="1" applyProtection="1">
      <alignment horizontal="left" vertical="center"/>
    </xf>
    <xf numFmtId="0" fontId="20" fillId="0" borderId="19" xfId="0" applyFont="1" applyFill="1" applyBorder="1" applyAlignment="1" applyProtection="1">
      <alignment vertical="center" wrapText="1"/>
    </xf>
    <xf numFmtId="0" fontId="20" fillId="5" borderId="19" xfId="0" applyFont="1" applyFill="1" applyBorder="1" applyAlignment="1" applyProtection="1">
      <alignment vertical="center" wrapText="1"/>
    </xf>
    <xf numFmtId="0" fontId="20" fillId="5" borderId="19" xfId="0" applyFont="1" applyFill="1" applyBorder="1" applyAlignment="1" applyProtection="1">
      <alignment horizontal="left" vertical="center" wrapText="1"/>
    </xf>
    <xf numFmtId="0" fontId="29" fillId="0" borderId="19" xfId="14" applyFont="1" applyFill="1" applyBorder="1" applyAlignment="1">
      <alignment horizontal="left" vertical="center" wrapText="1"/>
    </xf>
    <xf numFmtId="0" fontId="40" fillId="0" borderId="19" xfId="14" applyFont="1" applyFill="1" applyBorder="1" applyAlignment="1">
      <alignment horizontal="left" vertical="center" wrapText="1"/>
    </xf>
    <xf numFmtId="0" fontId="18" fillId="0" borderId="19" xfId="6" applyFont="1" applyFill="1" applyBorder="1" applyAlignment="1" applyProtection="1">
      <alignment horizontal="center" vertical="center" wrapText="1"/>
      <protection locked="0"/>
    </xf>
    <xf numFmtId="0" fontId="18" fillId="0" borderId="19" xfId="6" applyFont="1" applyFill="1" applyBorder="1" applyAlignment="1" applyProtection="1">
      <alignment horizontal="center" vertical="center"/>
    </xf>
    <xf numFmtId="0" fontId="18" fillId="0" borderId="19" xfId="0" applyFont="1" applyFill="1" applyBorder="1" applyAlignment="1">
      <alignment horizontal="center" vertical="center" wrapText="1"/>
    </xf>
    <xf numFmtId="0" fontId="18" fillId="0" borderId="30" xfId="8" applyFont="1" applyFill="1" applyBorder="1" applyAlignment="1">
      <alignment horizontal="center" vertical="center" wrapText="1"/>
    </xf>
    <xf numFmtId="0" fontId="0" fillId="0" borderId="0" xfId="0" applyFont="1" applyFill="1"/>
    <xf numFmtId="0" fontId="15" fillId="0" borderId="19" xfId="6" applyFont="1" applyFill="1" applyBorder="1" applyAlignment="1" applyProtection="1">
      <alignment horizontal="left" vertical="center"/>
    </xf>
    <xf numFmtId="0" fontId="18" fillId="5" borderId="19" xfId="8" applyFont="1" applyFill="1" applyBorder="1" applyAlignment="1" applyProtection="1">
      <alignment horizontal="left" vertical="center" wrapText="1"/>
    </xf>
    <xf numFmtId="0" fontId="29" fillId="0" borderId="19" xfId="12" applyFont="1" applyFill="1" applyBorder="1" applyAlignment="1">
      <alignment horizontal="left" vertical="center" wrapText="1"/>
    </xf>
    <xf numFmtId="0" fontId="29" fillId="0" borderId="19" xfId="12" applyFont="1" applyFill="1" applyBorder="1" applyAlignment="1">
      <alignment horizontal="center" vertical="center" wrapText="1"/>
    </xf>
    <xf numFmtId="0" fontId="29" fillId="6" borderId="19" xfId="13" applyFont="1" applyFill="1" applyBorder="1" applyAlignment="1">
      <alignment horizontal="left" vertical="center" wrapText="1"/>
    </xf>
    <xf numFmtId="0" fontId="29" fillId="0" borderId="19" xfId="8" applyFont="1" applyFill="1" applyBorder="1" applyAlignment="1">
      <alignment horizontal="left" vertical="center" wrapText="1"/>
    </xf>
    <xf numFmtId="0" fontId="6" fillId="0" borderId="19" xfId="12" applyFont="1" applyFill="1" applyBorder="1" applyAlignment="1">
      <alignment horizontal="center" vertical="center" wrapText="1"/>
    </xf>
    <xf numFmtId="0" fontId="29" fillId="0" borderId="19" xfId="8" applyFont="1" applyFill="1" applyBorder="1" applyAlignment="1">
      <alignment horizontal="center" vertical="center" wrapText="1"/>
    </xf>
    <xf numFmtId="0" fontId="36" fillId="5" borderId="19" xfId="0" applyFont="1" applyFill="1" applyBorder="1" applyAlignment="1">
      <alignment horizontal="left" vertical="center" wrapText="1"/>
    </xf>
    <xf numFmtId="0" fontId="6" fillId="5" borderId="19" xfId="7" applyFont="1" applyFill="1" applyBorder="1" applyAlignment="1">
      <alignment horizontal="left" vertical="center" wrapText="1"/>
    </xf>
    <xf numFmtId="0" fontId="0" fillId="5" borderId="19" xfId="0" applyFont="1" applyFill="1" applyBorder="1" applyAlignment="1">
      <alignment horizontal="left" vertical="center" wrapText="1"/>
    </xf>
    <xf numFmtId="0" fontId="6" fillId="5" borderId="19" xfId="13" applyFont="1" applyFill="1" applyBorder="1" applyAlignment="1">
      <alignment horizontal="left" vertical="center" wrapText="1"/>
    </xf>
    <xf numFmtId="0" fontId="6" fillId="5" borderId="19" xfId="13" applyFont="1" applyFill="1" applyBorder="1" applyAlignment="1">
      <alignment horizontal="center" vertical="center" wrapText="1"/>
    </xf>
    <xf numFmtId="0" fontId="0" fillId="5" borderId="19" xfId="0" applyFont="1" applyFill="1" applyBorder="1" applyAlignment="1">
      <alignment horizontal="left" vertical="center"/>
    </xf>
    <xf numFmtId="0" fontId="11" fillId="0" borderId="19" xfId="0" applyFont="1" applyBorder="1" applyAlignment="1">
      <alignment wrapText="1"/>
    </xf>
    <xf numFmtId="0" fontId="0" fillId="0" borderId="0" xfId="0" applyFont="1" applyAlignment="1" applyProtection="1">
      <alignment horizontal="left"/>
      <protection locked="0"/>
    </xf>
    <xf numFmtId="0" fontId="11" fillId="0" borderId="0" xfId="0" applyFont="1" applyAlignment="1" applyProtection="1">
      <alignment horizontal="right"/>
      <protection locked="0"/>
    </xf>
    <xf numFmtId="0" fontId="0" fillId="0" borderId="0" xfId="0" applyFont="1" applyAlignment="1" applyProtection="1">
      <alignment horizontal="center"/>
      <protection locked="0"/>
    </xf>
    <xf numFmtId="0" fontId="11" fillId="0" borderId="34" xfId="0" applyFont="1" applyFill="1" applyBorder="1" applyAlignment="1" applyProtection="1">
      <alignment horizontal="left"/>
      <protection locked="0"/>
    </xf>
    <xf numFmtId="164" fontId="11" fillId="0" borderId="34" xfId="2" applyNumberFormat="1" applyFont="1" applyFill="1" applyBorder="1" applyAlignment="1" applyProtection="1">
      <alignment horizontal="center"/>
      <protection locked="0"/>
    </xf>
    <xf numFmtId="0" fontId="0" fillId="0" borderId="0" xfId="0" applyFont="1" applyProtection="1">
      <protection hidden="1"/>
    </xf>
    <xf numFmtId="0" fontId="0" fillId="0" borderId="0" xfId="0" applyFont="1" applyAlignment="1">
      <alignment horizontal="center"/>
    </xf>
    <xf numFmtId="0" fontId="11" fillId="0" borderId="0" xfId="18"/>
    <xf numFmtId="0" fontId="13" fillId="4" borderId="37" xfId="18" applyFont="1" applyFill="1" applyBorder="1" applyAlignment="1" applyProtection="1">
      <alignment horizontal="center" vertical="center" wrapText="1"/>
      <protection locked="0"/>
    </xf>
    <xf numFmtId="0" fontId="13" fillId="4" borderId="38" xfId="18" applyFont="1" applyFill="1" applyBorder="1" applyAlignment="1" applyProtection="1">
      <alignment horizontal="center" vertical="center" wrapText="1"/>
      <protection locked="0"/>
    </xf>
    <xf numFmtId="0" fontId="13" fillId="4" borderId="28" xfId="18" applyFont="1" applyFill="1" applyBorder="1" applyAlignment="1" applyProtection="1">
      <alignment horizontal="center" vertical="center" wrapText="1"/>
      <protection locked="0"/>
    </xf>
    <xf numFmtId="0" fontId="10" fillId="4" borderId="37" xfId="18" applyFont="1" applyFill="1" applyBorder="1" applyAlignment="1" applyProtection="1">
      <alignment horizontal="center" vertical="center" wrapText="1"/>
      <protection locked="0"/>
    </xf>
    <xf numFmtId="0" fontId="6" fillId="0" borderId="19" xfId="19" applyFont="1" applyBorder="1" applyAlignment="1">
      <alignment horizontal="left" vertical="center" wrapText="1"/>
    </xf>
    <xf numFmtId="0" fontId="6" fillId="0" borderId="19" xfId="20" applyFont="1" applyFill="1" applyBorder="1" applyAlignment="1">
      <alignment horizontal="left" vertical="center" wrapText="1"/>
    </xf>
    <xf numFmtId="0" fontId="6" fillId="7" borderId="19" xfId="20" applyFont="1" applyFill="1" applyBorder="1" applyAlignment="1">
      <alignment horizontal="left" vertical="center" wrapText="1"/>
    </xf>
    <xf numFmtId="0" fontId="6" fillId="6" borderId="19" xfId="19" applyFont="1" applyFill="1" applyBorder="1" applyAlignment="1">
      <alignment horizontal="left" vertical="center" wrapText="1"/>
    </xf>
    <xf numFmtId="0" fontId="6" fillId="0" borderId="19" xfId="21" applyFont="1" applyFill="1" applyBorder="1" applyAlignment="1">
      <alignment horizontal="center" vertical="center" wrapText="1"/>
    </xf>
    <xf numFmtId="0" fontId="6" fillId="0" borderId="0" xfId="18" applyFont="1" applyProtection="1"/>
    <xf numFmtId="0" fontId="6" fillId="0" borderId="19" xfId="22" applyFont="1" applyFill="1" applyBorder="1" applyAlignment="1">
      <alignment horizontal="left" vertical="center" wrapText="1"/>
    </xf>
    <xf numFmtId="0" fontId="6" fillId="7" borderId="19" xfId="22" applyFont="1" applyFill="1" applyBorder="1" applyAlignment="1">
      <alignment horizontal="left" vertical="center" wrapText="1"/>
    </xf>
    <xf numFmtId="0" fontId="6" fillId="0" borderId="19" xfId="23" applyFont="1" applyFill="1" applyBorder="1" applyAlignment="1">
      <alignment horizontal="left" vertical="center" wrapText="1"/>
    </xf>
    <xf numFmtId="0" fontId="6" fillId="0" borderId="19" xfId="23" applyFont="1" applyFill="1" applyBorder="1" applyAlignment="1">
      <alignment horizontal="center" vertical="center" wrapText="1"/>
    </xf>
    <xf numFmtId="0" fontId="18" fillId="0" borderId="19" xfId="23" applyFont="1" applyFill="1" applyBorder="1" applyAlignment="1">
      <alignment horizontal="center" vertical="center" wrapText="1"/>
    </xf>
    <xf numFmtId="0" fontId="6" fillId="0" borderId="0" xfId="23" applyFont="1" applyFill="1" applyBorder="1" applyAlignment="1">
      <alignment horizontal="right" vertical="center"/>
    </xf>
    <xf numFmtId="0" fontId="11" fillId="0" borderId="0" xfId="18" applyAlignment="1">
      <alignment horizontal="center"/>
    </xf>
    <xf numFmtId="0" fontId="11" fillId="0" borderId="0" xfId="18" applyFont="1" applyAlignment="1">
      <alignment horizontal="right"/>
    </xf>
    <xf numFmtId="164" fontId="0" fillId="0" borderId="0" xfId="24" applyNumberFormat="1" applyFont="1" applyAlignment="1">
      <alignment horizontal="center"/>
    </xf>
    <xf numFmtId="0" fontId="11" fillId="0" borderId="0" xfId="19"/>
    <xf numFmtId="0" fontId="13" fillId="4" borderId="37" xfId="19" applyFont="1" applyFill="1" applyBorder="1" applyAlignment="1" applyProtection="1">
      <alignment horizontal="center" vertical="center" wrapText="1"/>
      <protection locked="0"/>
    </xf>
    <xf numFmtId="0" fontId="13" fillId="4" borderId="38" xfId="19" applyFont="1" applyFill="1" applyBorder="1" applyAlignment="1" applyProtection="1">
      <alignment horizontal="center" vertical="center" wrapText="1"/>
      <protection locked="0"/>
    </xf>
    <xf numFmtId="0" fontId="13" fillId="4" borderId="28" xfId="19" applyFont="1" applyFill="1" applyBorder="1" applyAlignment="1" applyProtection="1">
      <alignment horizontal="center" vertical="center" wrapText="1"/>
      <protection locked="0"/>
    </xf>
    <xf numFmtId="0" fontId="10" fillId="4" borderId="37" xfId="19" applyFont="1" applyFill="1" applyBorder="1" applyAlignment="1" applyProtection="1">
      <alignment horizontal="center" vertical="center" wrapText="1"/>
      <protection locked="0"/>
    </xf>
    <xf numFmtId="0" fontId="6" fillId="6" borderId="19" xfId="19" applyFont="1" applyFill="1" applyBorder="1" applyAlignment="1">
      <alignment horizontal="center" vertical="center" wrapText="1"/>
    </xf>
    <xf numFmtId="0" fontId="18" fillId="0" borderId="19" xfId="20" applyFont="1" applyFill="1" applyBorder="1" applyAlignment="1">
      <alignment horizontal="left" vertical="center" wrapText="1"/>
    </xf>
    <xf numFmtId="0" fontId="29" fillId="6" borderId="19" xfId="19" applyFont="1" applyFill="1" applyBorder="1" applyAlignment="1">
      <alignment horizontal="left" vertical="center" wrapText="1"/>
    </xf>
    <xf numFmtId="0" fontId="6" fillId="0" borderId="19" xfId="20" applyFont="1" applyFill="1" applyBorder="1" applyAlignment="1">
      <alignment horizontal="center" vertical="center" wrapText="1"/>
    </xf>
    <xf numFmtId="0" fontId="11" fillId="0" borderId="0" xfId="19" applyFont="1" applyAlignment="1">
      <alignment horizontal="right"/>
    </xf>
    <xf numFmtId="164" fontId="0" fillId="0" borderId="0" xfId="24" applyNumberFormat="1" applyFont="1"/>
    <xf numFmtId="0" fontId="6" fillId="0" borderId="19" xfId="19" applyFont="1" applyFill="1" applyBorder="1" applyAlignment="1" applyProtection="1">
      <alignment horizontal="left" vertical="center" wrapText="1"/>
    </xf>
    <xf numFmtId="0" fontId="35" fillId="0" borderId="19" xfId="19" applyFont="1" applyBorder="1" applyAlignment="1">
      <alignment horizontal="left" vertical="center" wrapText="1"/>
    </xf>
    <xf numFmtId="0" fontId="11" fillId="0" borderId="19" xfId="19" applyBorder="1" applyAlignment="1">
      <alignment horizontal="left" vertical="center"/>
    </xf>
    <xf numFmtId="0" fontId="11" fillId="0" borderId="19" xfId="19" applyBorder="1" applyAlignment="1">
      <alignment horizontal="left" vertical="center" wrapText="1"/>
    </xf>
    <xf numFmtId="0" fontId="11" fillId="0" borderId="19" xfId="19" applyFill="1" applyBorder="1" applyAlignment="1">
      <alignment horizontal="left" vertical="center" wrapText="1"/>
    </xf>
    <xf numFmtId="0" fontId="36" fillId="0" borderId="19" xfId="19" applyFont="1" applyFill="1" applyBorder="1" applyAlignment="1">
      <alignment horizontal="left" vertical="center" wrapText="1"/>
    </xf>
    <xf numFmtId="0" fontId="30" fillId="8" borderId="19" xfId="19" applyFont="1" applyFill="1" applyBorder="1" applyAlignment="1">
      <alignment horizontal="center" vertical="center" wrapText="1"/>
    </xf>
    <xf numFmtId="0" fontId="11" fillId="0" borderId="0" xfId="19" applyFont="1"/>
    <xf numFmtId="0" fontId="31" fillId="0" borderId="0" xfId="19" applyFont="1"/>
    <xf numFmtId="0" fontId="11" fillId="10" borderId="0" xfId="0" applyFont="1" applyFill="1"/>
    <xf numFmtId="0" fontId="11" fillId="10" borderId="0" xfId="0" applyFont="1" applyFill="1" applyAlignment="1">
      <alignment wrapText="1"/>
    </xf>
    <xf numFmtId="0" fontId="0" fillId="10" borderId="0" xfId="0" applyFill="1"/>
    <xf numFmtId="0" fontId="0" fillId="10" borderId="0" xfId="0" applyFill="1" applyAlignment="1">
      <alignment wrapText="1"/>
    </xf>
    <xf numFmtId="0" fontId="6" fillId="0" borderId="40" xfId="20" applyFont="1" applyFill="1" applyBorder="1" applyAlignment="1">
      <alignment horizontal="left" vertical="center" wrapText="1"/>
    </xf>
    <xf numFmtId="0" fontId="11" fillId="14" borderId="0" xfId="0" applyFont="1" applyFill="1"/>
    <xf numFmtId="0" fontId="11" fillId="14" borderId="0" xfId="0" applyFont="1" applyFill="1" applyAlignment="1">
      <alignment wrapText="1"/>
    </xf>
    <xf numFmtId="0" fontId="0" fillId="14" borderId="0" xfId="0" applyFill="1"/>
    <xf numFmtId="0" fontId="0" fillId="14" borderId="0" xfId="0" applyFill="1" applyAlignment="1">
      <alignment wrapText="1"/>
    </xf>
    <xf numFmtId="0" fontId="15" fillId="0" borderId="19" xfId="8" applyFont="1" applyBorder="1" applyAlignment="1" applyProtection="1">
      <alignment horizontal="left" vertical="center" wrapText="1"/>
    </xf>
    <xf numFmtId="0" fontId="6" fillId="5" borderId="19" xfId="12" applyFont="1" applyFill="1" applyBorder="1" applyAlignment="1">
      <alignment horizontal="left" vertical="center" wrapText="1"/>
    </xf>
    <xf numFmtId="0" fontId="15" fillId="5" borderId="19" xfId="12" applyFont="1" applyFill="1" applyBorder="1" applyAlignment="1">
      <alignment horizontal="center" vertical="center" wrapText="1"/>
    </xf>
    <xf numFmtId="0" fontId="6" fillId="5" borderId="19" xfId="8" applyFont="1" applyFill="1" applyBorder="1" applyAlignment="1">
      <alignment horizontal="left" vertical="center" wrapText="1"/>
    </xf>
    <xf numFmtId="0" fontId="6" fillId="5" borderId="19" xfId="8" applyFont="1" applyFill="1" applyBorder="1" applyAlignment="1">
      <alignment horizontal="center" vertical="center" wrapText="1"/>
    </xf>
    <xf numFmtId="0" fontId="18" fillId="5" borderId="19" xfId="8" applyFont="1" applyFill="1" applyBorder="1" applyAlignment="1">
      <alignment horizontal="center" vertical="center" wrapText="1"/>
    </xf>
    <xf numFmtId="0" fontId="6" fillId="5" borderId="19" xfId="7" applyFont="1" applyFill="1" applyBorder="1" applyAlignment="1" applyProtection="1">
      <alignment horizontal="left" vertical="center" wrapText="1"/>
    </xf>
    <xf numFmtId="0" fontId="18" fillId="5" borderId="19" xfId="6" applyFont="1" applyFill="1" applyBorder="1" applyAlignment="1" applyProtection="1">
      <alignment horizontal="left" vertical="center" wrapText="1"/>
    </xf>
    <xf numFmtId="0" fontId="15" fillId="5" borderId="19" xfId="8" applyFont="1" applyFill="1" applyBorder="1" applyAlignment="1">
      <alignment horizontal="center" vertical="center" wrapText="1"/>
    </xf>
    <xf numFmtId="0" fontId="15" fillId="0" borderId="19" xfId="8" applyFont="1" applyBorder="1" applyAlignment="1" applyProtection="1">
      <alignment vertical="center" wrapText="1"/>
    </xf>
    <xf numFmtId="0" fontId="15" fillId="0" borderId="19" xfId="8" applyFont="1" applyFill="1" applyBorder="1" applyAlignment="1" applyProtection="1">
      <alignment vertical="center" wrapText="1"/>
    </xf>
    <xf numFmtId="0" fontId="15" fillId="6" borderId="19" xfId="8" applyFont="1" applyFill="1" applyBorder="1" applyAlignment="1" applyProtection="1">
      <alignment vertical="center" wrapText="1"/>
    </xf>
    <xf numFmtId="0" fontId="15" fillId="7" borderId="19" xfId="8" applyFont="1" applyFill="1" applyBorder="1" applyAlignment="1" applyProtection="1">
      <alignment vertical="center" wrapText="1"/>
    </xf>
    <xf numFmtId="0" fontId="18" fillId="0" borderId="19" xfId="15" applyFont="1" applyFill="1" applyBorder="1" applyAlignment="1">
      <alignment horizontal="center" vertical="center" wrapText="1"/>
    </xf>
    <xf numFmtId="0" fontId="6" fillId="0" borderId="19" xfId="15" applyFont="1" applyFill="1" applyBorder="1" applyAlignment="1">
      <alignment horizontal="center" vertical="center" wrapText="1"/>
    </xf>
    <xf numFmtId="0" fontId="15" fillId="6" borderId="19" xfId="19" applyFont="1" applyFill="1" applyBorder="1" applyAlignment="1">
      <alignment horizontal="left" vertical="center" wrapText="1"/>
    </xf>
    <xf numFmtId="0" fontId="11" fillId="0" borderId="0" xfId="0" applyFont="1" applyFill="1"/>
    <xf numFmtId="0" fontId="11" fillId="0" borderId="0" xfId="0" applyFont="1" applyFill="1" applyAlignment="1">
      <alignment wrapText="1"/>
    </xf>
    <xf numFmtId="0" fontId="0" fillId="0" borderId="0" xfId="0" applyFill="1" applyAlignment="1">
      <alignment wrapText="1"/>
    </xf>
    <xf numFmtId="0" fontId="24" fillId="0" borderId="0" xfId="0" applyFont="1" applyFill="1"/>
    <xf numFmtId="0" fontId="24" fillId="0" borderId="0" xfId="0" applyFont="1" applyFill="1" applyAlignment="1">
      <alignment wrapText="1"/>
    </xf>
    <xf numFmtId="0" fontId="0" fillId="0" borderId="0" xfId="0" applyFill="1" applyAlignment="1">
      <alignment horizontal="center"/>
    </xf>
    <xf numFmtId="0" fontId="6" fillId="0" borderId="0" xfId="20" applyFont="1" applyFill="1" applyBorder="1" applyAlignment="1">
      <alignment horizontal="left" vertical="center" wrapText="1"/>
    </xf>
    <xf numFmtId="0" fontId="24" fillId="0" borderId="0" xfId="0" applyFont="1" applyFill="1" applyAlignment="1">
      <alignment vertical="center"/>
    </xf>
    <xf numFmtId="0" fontId="24" fillId="0" borderId="0" xfId="0" applyFont="1" applyFill="1" applyAlignment="1">
      <alignment vertical="center" wrapText="1"/>
    </xf>
    <xf numFmtId="0" fontId="15" fillId="0" borderId="0" xfId="20" applyFont="1" applyFill="1" applyBorder="1" applyAlignment="1">
      <alignment horizontal="left" vertical="center" wrapText="1"/>
    </xf>
    <xf numFmtId="0" fontId="6" fillId="15" borderId="19" xfId="8" applyFont="1" applyFill="1" applyBorder="1" applyAlignment="1" applyProtection="1">
      <alignment vertical="center" wrapText="1"/>
    </xf>
    <xf numFmtId="0" fontId="16" fillId="0" borderId="19" xfId="0" applyFont="1" applyFill="1" applyBorder="1" applyAlignment="1" applyProtection="1">
      <alignment horizontal="center" vertical="center" wrapText="1"/>
    </xf>
    <xf numFmtId="0" fontId="32" fillId="6" borderId="19" xfId="0" applyFont="1" applyFill="1" applyBorder="1" applyAlignment="1" applyProtection="1">
      <alignment horizontal="left" vertical="center" wrapText="1"/>
    </xf>
    <xf numFmtId="0" fontId="41" fillId="6" borderId="19" xfId="0" applyFont="1" applyFill="1" applyBorder="1" applyAlignment="1" applyProtection="1">
      <alignment horizontal="left" vertical="center" wrapText="1"/>
    </xf>
    <xf numFmtId="0" fontId="41" fillId="0" borderId="19" xfId="0" applyFont="1" applyFill="1" applyBorder="1" applyAlignment="1" applyProtection="1">
      <alignment horizontal="left" vertical="center" wrapText="1"/>
    </xf>
    <xf numFmtId="0" fontId="6" fillId="5" borderId="30" xfId="0" applyFont="1" applyFill="1" applyBorder="1" applyAlignment="1" applyProtection="1">
      <alignment horizontal="left" vertical="center" wrapText="1"/>
    </xf>
    <xf numFmtId="0" fontId="41" fillId="5" borderId="19" xfId="0" applyFont="1" applyFill="1" applyBorder="1" applyAlignment="1" applyProtection="1">
      <alignment horizontal="left" vertical="center" wrapText="1"/>
    </xf>
    <xf numFmtId="0" fontId="41" fillId="5" borderId="19" xfId="0" applyFont="1" applyFill="1" applyBorder="1" applyAlignment="1" applyProtection="1">
      <alignment horizontal="center" vertical="center" wrapText="1"/>
    </xf>
    <xf numFmtId="0" fontId="41" fillId="5" borderId="19" xfId="3" applyFont="1" applyFill="1" applyBorder="1" applyAlignment="1" applyProtection="1">
      <alignment vertical="center" wrapText="1"/>
    </xf>
    <xf numFmtId="0" fontId="41" fillId="5" borderId="19" xfId="5" applyFont="1" applyFill="1" applyBorder="1" applyAlignment="1" applyProtection="1">
      <alignment horizontal="left" vertical="center" wrapText="1"/>
    </xf>
    <xf numFmtId="0" fontId="32" fillId="5" borderId="32" xfId="5" applyFont="1" applyFill="1" applyBorder="1" applyAlignment="1" applyProtection="1">
      <alignment horizontal="left" vertical="center" wrapText="1"/>
    </xf>
    <xf numFmtId="0" fontId="6" fillId="0" borderId="10" xfId="14" applyFont="1" applyFill="1" applyBorder="1" applyAlignment="1">
      <alignment horizontal="center" vertical="center" wrapText="1"/>
    </xf>
    <xf numFmtId="0" fontId="6" fillId="0" borderId="11" xfId="14" applyFont="1" applyFill="1" applyBorder="1" applyAlignment="1">
      <alignment horizontal="center" vertical="center" wrapText="1"/>
    </xf>
    <xf numFmtId="0" fontId="6" fillId="0" borderId="33" xfId="14" applyFont="1" applyFill="1" applyBorder="1" applyAlignment="1">
      <alignment horizontal="center" vertical="center" wrapText="1"/>
    </xf>
    <xf numFmtId="0" fontId="6" fillId="5" borderId="10" xfId="14" applyFont="1" applyFill="1" applyBorder="1" applyAlignment="1">
      <alignment horizontal="center" vertical="center" wrapText="1"/>
    </xf>
    <xf numFmtId="0" fontId="6" fillId="5" borderId="11" xfId="14" applyFont="1" applyFill="1" applyBorder="1" applyAlignment="1">
      <alignment horizontal="center" vertical="center" wrapText="1"/>
    </xf>
    <xf numFmtId="0" fontId="6" fillId="5" borderId="33" xfId="14" applyFont="1" applyFill="1" applyBorder="1" applyAlignment="1">
      <alignment horizontal="center" vertical="center" wrapText="1"/>
    </xf>
    <xf numFmtId="0" fontId="13" fillId="3" borderId="24" xfId="0" applyFont="1" applyFill="1" applyBorder="1" applyAlignment="1">
      <alignment horizontal="left" vertical="center" wrapText="1"/>
    </xf>
    <xf numFmtId="0" fontId="14" fillId="0" borderId="25" xfId="0" applyFont="1" applyBorder="1" applyAlignment="1">
      <alignment horizontal="left" vertical="center" wrapText="1"/>
    </xf>
    <xf numFmtId="0" fontId="14" fillId="0" borderId="26" xfId="0" applyFont="1" applyBorder="1" applyAlignment="1">
      <alignment horizontal="left" vertical="center" wrapText="1"/>
    </xf>
    <xf numFmtId="0" fontId="7" fillId="4" borderId="24" xfId="0" applyFont="1" applyFill="1" applyBorder="1" applyAlignment="1" applyProtection="1">
      <alignment horizontal="left" vertical="center" wrapText="1"/>
    </xf>
    <xf numFmtId="0" fontId="7" fillId="4" borderId="25" xfId="0" applyFont="1" applyFill="1" applyBorder="1" applyAlignment="1" applyProtection="1">
      <alignment horizontal="left" vertical="center" wrapText="1"/>
    </xf>
    <xf numFmtId="0" fontId="7" fillId="4" borderId="26" xfId="0" applyFont="1" applyFill="1" applyBorder="1" applyAlignment="1" applyProtection="1">
      <alignment horizontal="left" vertical="center" wrapText="1"/>
    </xf>
    <xf numFmtId="0" fontId="4" fillId="0" borderId="1" xfId="0" applyFont="1" applyBorder="1" applyAlignment="1">
      <alignment vertical="top" wrapText="1"/>
    </xf>
    <xf numFmtId="0" fontId="4" fillId="0" borderId="5" xfId="0" applyFont="1" applyBorder="1" applyAlignment="1">
      <alignment vertical="top" wrapText="1"/>
    </xf>
    <xf numFmtId="0" fontId="4" fillId="0" borderId="9" xfId="0" applyFont="1" applyBorder="1" applyAlignment="1">
      <alignment vertical="top" wrapText="1"/>
    </xf>
    <xf numFmtId="0" fontId="8" fillId="0" borderId="10" xfId="0" applyFont="1" applyBorder="1" applyAlignment="1">
      <alignment horizontal="center" wrapText="1"/>
    </xf>
    <xf numFmtId="0" fontId="8" fillId="0" borderId="11" xfId="0" applyFont="1" applyBorder="1" applyAlignment="1">
      <alignment horizontal="center" wrapText="1"/>
    </xf>
    <xf numFmtId="0" fontId="8" fillId="0" borderId="12" xfId="0" applyFont="1" applyBorder="1" applyAlignment="1">
      <alignment horizontal="center" wrapText="1"/>
    </xf>
    <xf numFmtId="0" fontId="9" fillId="0" borderId="13" xfId="0" applyFont="1" applyBorder="1" applyAlignment="1">
      <alignment horizontal="center" wrapText="1"/>
    </xf>
    <xf numFmtId="0" fontId="9" fillId="0" borderId="14" xfId="0" applyFont="1" applyBorder="1" applyAlignment="1">
      <alignment horizontal="center" wrapText="1"/>
    </xf>
    <xf numFmtId="0" fontId="9" fillId="0" borderId="15" xfId="0" applyFont="1" applyBorder="1" applyAlignment="1">
      <alignment horizontal="center" wrapText="1"/>
    </xf>
    <xf numFmtId="0" fontId="8" fillId="0" borderId="18" xfId="0" applyFont="1" applyBorder="1" applyAlignment="1">
      <alignment horizontal="center" wrapText="1"/>
    </xf>
    <xf numFmtId="0" fontId="8" fillId="0" borderId="19" xfId="0" applyFont="1" applyBorder="1" applyAlignment="1">
      <alignment horizontal="center" wrapText="1"/>
    </xf>
    <xf numFmtId="0" fontId="8" fillId="0" borderId="21" xfId="0" applyFont="1" applyBorder="1" applyAlignment="1">
      <alignment horizontal="center" vertical="top" wrapText="1"/>
    </xf>
    <xf numFmtId="0" fontId="8" fillId="0" borderId="22" xfId="0" applyFont="1" applyBorder="1" applyAlignment="1">
      <alignment horizontal="center" vertical="top" wrapText="1"/>
    </xf>
    <xf numFmtId="0" fontId="10" fillId="0" borderId="16" xfId="0" applyFont="1" applyFill="1" applyBorder="1" applyAlignment="1">
      <alignment horizontal="center" vertical="top" wrapText="1"/>
    </xf>
    <xf numFmtId="0" fontId="10" fillId="0" borderId="17" xfId="0" applyFont="1" applyFill="1" applyBorder="1" applyAlignment="1">
      <alignment horizontal="center" vertical="top" wrapText="1"/>
    </xf>
    <xf numFmtId="0" fontId="10" fillId="0" borderId="4" xfId="0" applyFont="1" applyFill="1" applyBorder="1" applyAlignment="1">
      <alignment horizontal="center" vertical="top" wrapText="1"/>
    </xf>
    <xf numFmtId="0" fontId="4" fillId="0" borderId="18" xfId="0" applyFont="1" applyFill="1" applyBorder="1" applyAlignment="1">
      <alignment horizontal="center" vertical="top" wrapText="1"/>
    </xf>
    <xf numFmtId="0" fontId="4" fillId="0" borderId="19" xfId="0" applyFont="1" applyFill="1" applyBorder="1" applyAlignment="1">
      <alignment horizontal="center" vertical="top" wrapText="1"/>
    </xf>
    <xf numFmtId="0" fontId="4" fillId="0" borderId="20" xfId="0" applyFont="1" applyFill="1" applyBorder="1" applyAlignment="1">
      <alignment horizontal="center" vertical="top" wrapText="1"/>
    </xf>
    <xf numFmtId="0" fontId="8" fillId="0" borderId="19" xfId="0" applyFont="1" applyBorder="1" applyAlignment="1">
      <alignment horizontal="center" vertical="top" wrapText="1"/>
    </xf>
    <xf numFmtId="0" fontId="8" fillId="0" borderId="20" xfId="0" applyFont="1" applyBorder="1" applyAlignment="1">
      <alignment horizontal="center" vertical="top" wrapText="1"/>
    </xf>
    <xf numFmtId="0" fontId="7" fillId="0" borderId="22" xfId="0" applyFont="1" applyBorder="1" applyAlignment="1">
      <alignment horizontal="center" vertical="top" wrapText="1"/>
    </xf>
    <xf numFmtId="0" fontId="7" fillId="0" borderId="23" xfId="0" applyFont="1" applyBorder="1" applyAlignment="1">
      <alignment horizontal="center" vertical="top" wrapText="1"/>
    </xf>
    <xf numFmtId="0" fontId="7" fillId="0" borderId="19" xfId="0" applyFont="1" applyBorder="1" applyAlignment="1">
      <alignment horizontal="center" vertical="top" wrapText="1"/>
    </xf>
    <xf numFmtId="0" fontId="7" fillId="0" borderId="20" xfId="0" applyFont="1" applyBorder="1" applyAlignment="1">
      <alignment horizontal="center" vertical="top" wrapText="1"/>
    </xf>
    <xf numFmtId="0" fontId="7" fillId="0" borderId="18" xfId="0" applyFont="1" applyBorder="1" applyAlignment="1">
      <alignment horizontal="center" vertical="top" wrapText="1"/>
    </xf>
    <xf numFmtId="0" fontId="25" fillId="3" borderId="35" xfId="18" applyFont="1" applyFill="1" applyBorder="1" applyAlignment="1">
      <alignment horizontal="left" vertical="center" wrapText="1"/>
    </xf>
    <xf numFmtId="0" fontId="25" fillId="3" borderId="36" xfId="18" applyFont="1" applyFill="1" applyBorder="1" applyAlignment="1">
      <alignment horizontal="left" vertical="center" wrapText="1"/>
    </xf>
    <xf numFmtId="0" fontId="25" fillId="3" borderId="36" xfId="18" applyFont="1" applyFill="1" applyBorder="1" applyAlignment="1">
      <alignment horizontal="center" vertical="center" wrapText="1"/>
    </xf>
    <xf numFmtId="0" fontId="10" fillId="4" borderId="28" xfId="18" applyFont="1" applyFill="1" applyBorder="1" applyAlignment="1" applyProtection="1">
      <alignment horizontal="center" vertical="center" wrapText="1"/>
      <protection locked="0"/>
    </xf>
    <xf numFmtId="0" fontId="10" fillId="4" borderId="39" xfId="18" applyFont="1" applyFill="1" applyBorder="1" applyAlignment="1" applyProtection="1">
      <alignment horizontal="center" vertical="center" wrapText="1"/>
      <protection locked="0"/>
    </xf>
    <xf numFmtId="0" fontId="10" fillId="4" borderId="38" xfId="18" applyFont="1" applyFill="1" applyBorder="1" applyAlignment="1" applyProtection="1">
      <alignment horizontal="center" vertical="center" wrapText="1"/>
      <protection locked="0"/>
    </xf>
    <xf numFmtId="0" fontId="25" fillId="3" borderId="35" xfId="19" applyFont="1" applyFill="1" applyBorder="1" applyAlignment="1">
      <alignment horizontal="left" vertical="center" wrapText="1"/>
    </xf>
    <xf numFmtId="0" fontId="25" fillId="3" borderId="36" xfId="19" applyFont="1" applyFill="1" applyBorder="1" applyAlignment="1">
      <alignment horizontal="left" vertical="center" wrapText="1"/>
    </xf>
    <xf numFmtId="0" fontId="25" fillId="3" borderId="36" xfId="19" applyFont="1" applyFill="1" applyBorder="1" applyAlignment="1">
      <alignment horizontal="center" vertical="center" wrapText="1"/>
    </xf>
    <xf numFmtId="0" fontId="10" fillId="4" borderId="28" xfId="19" applyFont="1" applyFill="1" applyBorder="1" applyAlignment="1" applyProtection="1">
      <alignment horizontal="center" vertical="center" wrapText="1"/>
      <protection locked="0"/>
    </xf>
    <xf numFmtId="0" fontId="10" fillId="4" borderId="39" xfId="19" applyFont="1" applyFill="1" applyBorder="1" applyAlignment="1" applyProtection="1">
      <alignment horizontal="center" vertical="center" wrapText="1"/>
      <protection locked="0"/>
    </xf>
    <xf numFmtId="0" fontId="10" fillId="4" borderId="38" xfId="19" applyFont="1" applyFill="1" applyBorder="1" applyAlignment="1" applyProtection="1">
      <alignment horizontal="center" vertical="center" wrapText="1"/>
      <protection locked="0"/>
    </xf>
    <xf numFmtId="0" fontId="6" fillId="0" borderId="10" xfId="20" applyFont="1" applyFill="1" applyBorder="1" applyAlignment="1">
      <alignment horizontal="center" vertical="center" wrapText="1"/>
    </xf>
    <xf numFmtId="0" fontId="6" fillId="0" borderId="11" xfId="20" applyFont="1" applyFill="1" applyBorder="1" applyAlignment="1">
      <alignment horizontal="center" vertical="center" wrapText="1"/>
    </xf>
    <xf numFmtId="0" fontId="6" fillId="0" borderId="33" xfId="20" applyFont="1" applyFill="1" applyBorder="1" applyAlignment="1">
      <alignment horizontal="center" vertical="center" wrapText="1"/>
    </xf>
  </cellXfs>
  <cellStyles count="25">
    <cellStyle name="Milliers" xfId="1" builtinId="3"/>
    <cellStyle name="Normal" xfId="0" builtinId="0"/>
    <cellStyle name="Normal 2" xfId="6"/>
    <cellStyle name="Normal 3" xfId="4"/>
    <cellStyle name="Normal 3 2" xfId="5"/>
    <cellStyle name="Normal 3 2 2 2" xfId="8"/>
    <cellStyle name="Normal 3 2 2 2 2" xfId="23"/>
    <cellStyle name="Normal 3 2 2 3" xfId="10"/>
    <cellStyle name="Normal 3 2 4" xfId="11"/>
    <cellStyle name="Normal 3 3" xfId="9"/>
    <cellStyle name="Normal 3 4" xfId="15"/>
    <cellStyle name="Normal 3 4 2" xfId="21"/>
    <cellStyle name="Normal 4" xfId="7"/>
    <cellStyle name="Normal 4 2 2" xfId="12"/>
    <cellStyle name="Normal 4 2 2 2" xfId="22"/>
    <cellStyle name="Normal 4 4" xfId="14"/>
    <cellStyle name="Normal 4 4 2" xfId="20"/>
    <cellStyle name="Normal 5" xfId="13"/>
    <cellStyle name="Normal 5 2" xfId="19"/>
    <cellStyle name="Normal 6" xfId="18"/>
    <cellStyle name="Pourcentage" xfId="2" builtinId="5"/>
    <cellStyle name="Pourcentage 2" xfId="16"/>
    <cellStyle name="Pourcentage 2 2" xfId="24"/>
    <cellStyle name="Satisfaisant" xfId="3" builtinId="26"/>
    <cellStyle name="Satisfaisant 2" xfId="17"/>
  </cellStyles>
  <dxfs count="32">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s>
  <tableStyles count="0" defaultTableStyle="TableStyleMedium9" defaultPivotStyle="PivotStyleLight16"/>
  <colors>
    <mruColors>
      <color rgb="FFF2DCEE"/>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1295400</xdr:colOff>
      <xdr:row>2</xdr:row>
      <xdr:rowOff>152400</xdr:rowOff>
    </xdr:to>
    <xdr:pic>
      <xdr:nvPicPr>
        <xdr:cNvPr id="1028" name="Image 2" descr="logo-CHU-final.p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2954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Qualite\FLEXI%20+\SH%20FORM%2006-liste%20d&#233;taill&#233;e%20des%20examens%2015081%20v44%20en%20cours%20flexi%20+%2004.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amens accrédités et ajouts"/>
      <sheetName val="Extensions demandées juin 2019"/>
      <sheetName val="Extensions demandées oct 2021"/>
      <sheetName val="Extensions demandées 2024"/>
      <sheetName val="FLEXI+"/>
      <sheetName val="EBMD"/>
      <sheetName val="FLEXI+ PP01"/>
      <sheetName val="FLEXI+ EXT 2019"/>
      <sheetName val="FLEXI+ EXT 2021"/>
      <sheetName val="INFO"/>
      <sheetName val="Feuil2"/>
      <sheetName val="Feuil3"/>
      <sheetName val="Feuil4"/>
      <sheetName val="Feuil5"/>
      <sheetName val="Feuil6"/>
      <sheetName val="Feuil7"/>
      <sheetName val="Feuil8"/>
      <sheetName val="Feuil9"/>
      <sheetName val="Feuil10"/>
      <sheetName val="Feuil11"/>
      <sheetName val="Feuil12"/>
    </sheetNames>
    <sheetDataSet>
      <sheetData sheetId="0">
        <row r="15">
          <cell r="A15" t="str">
            <v>HOPITAL CHARLES NICOLLE CHU ROUEN</v>
          </cell>
        </row>
        <row r="622">
          <cell r="B622" t="str">
            <v xml:space="preserve">Centres de prélèvement 
</v>
          </cell>
          <cell r="F622" t="str">
            <v>Urines</v>
          </cell>
          <cell r="L622" t="str">
            <v xml:space="preserve">Viskali
</v>
          </cell>
          <cell r="M622" t="str">
            <v>extension demandée en novembre 2024</v>
          </cell>
          <cell r="Q622" t="str">
            <v xml:space="preserve">BM PP01 _ NA _ Prélèvement par pose d’une poche pédiatrique _  _  _  _ </v>
          </cell>
        </row>
        <row r="623">
          <cell r="B623" t="str">
            <v>Centres de prélèvement 
Biologie de la reproduction</v>
          </cell>
          <cell r="F623" t="str">
            <v>Urines</v>
          </cell>
          <cell r="L623" t="str">
            <v>Viskali
Protocole institutionnel de recueil des urines en vue d’un ECBU et autres examens de biologie chez un patient non sondé (Gedi 6868)
Protocole institutionnel de recueil des urines chez un patient porteur d’une sonde vésicale (Gedi 245)</v>
          </cell>
          <cell r="M623" t="str">
            <v>extension demandée en novembre 2024</v>
          </cell>
          <cell r="Q623" t="str">
            <v xml:space="preserve">BM PP01 _ NA _ Recueil des urines
Prélèvement par recueil sur le site de prélèvement de poche. _  _  _  _ </v>
          </cell>
        </row>
        <row r="624">
          <cell r="B624" t="str">
            <v xml:space="preserve">Centres de prélèvement 
</v>
          </cell>
          <cell r="F624" t="str">
            <v>Salive</v>
          </cell>
          <cell r="L624" t="str">
            <v>Viskali</v>
          </cell>
          <cell r="M624" t="str">
            <v>extension demandée en novembre 2024</v>
          </cell>
          <cell r="Q624" t="str">
            <v xml:space="preserve">BM PP01 _ NA _ Ecouvillonnage
Recueil salivaire sur buvard _  _  _  _ </v>
          </cell>
        </row>
        <row r="625">
          <cell r="B625" t="str">
            <v>Centres de prélèvement</v>
          </cell>
          <cell r="F625" t="str">
            <v>Crachats</v>
          </cell>
          <cell r="L625" t="str">
            <v>Viskali</v>
          </cell>
          <cell r="M625" t="str">
            <v>extension demandée en novembre 2024</v>
          </cell>
          <cell r="Q625" t="str">
            <v xml:space="preserve">BM PP01 _ NA _ Recueil du crachat _  _  _  _ </v>
          </cell>
        </row>
        <row r="626">
          <cell r="B626" t="str">
            <v xml:space="preserve">Centres de prélèvement 
</v>
          </cell>
          <cell r="F626" t="str">
            <v>Selles</v>
          </cell>
          <cell r="L626" t="str">
            <v xml:space="preserve">Viskali
Microbiologie : Prélèvements effectués à l'unité de prélèvement (UP) (GEDI 3706)
</v>
          </cell>
          <cell r="M626" t="str">
            <v>extension demandée en novembre 2024</v>
          </cell>
          <cell r="Q626" t="str">
            <v xml:space="preserve">BM PP01 _ NA _ Recueil des selles _  _  _  _ </v>
          </cell>
        </row>
        <row r="627">
          <cell r="B627" t="str">
            <v>Centres de prélèvement 
Biologie de la reproduction</v>
          </cell>
          <cell r="F627" t="str">
            <v xml:space="preserve">Prélèvements génitaux :
vaginal, urétral, anal
</v>
          </cell>
          <cell r="L627" t="str">
            <v xml:space="preserve">Viskali
Microbiologie : Prélèvements effectués à l'unité de prélèvement (UP) (GEDI 3706)
</v>
          </cell>
          <cell r="M627" t="str">
            <v>extension demandée en novembre 2024</v>
          </cell>
          <cell r="Q627" t="str">
            <v xml:space="preserve">BM PP01 _ NA _ Ecouvillonnage pour examens microbiologiques _  _  _  _ </v>
          </cell>
        </row>
        <row r="628">
          <cell r="B628" t="str">
            <v>Biologie de la reproduction</v>
          </cell>
          <cell r="F628" t="str">
            <v>Sperme</v>
          </cell>
          <cell r="L628" t="str">
            <v>Viskali
Procédure de recueil du sperme (GEDI 4106)</v>
          </cell>
          <cell r="M628" t="str">
            <v>extension demandée en novembre 2024</v>
          </cell>
          <cell r="Q628" t="str">
            <v xml:space="preserve">BM PP01 _ NA _ Recueil de sperme _  _  _  _ </v>
          </cell>
        </row>
        <row r="629">
          <cell r="B629" t="str">
            <v>Biologie de la reproduction</v>
          </cell>
          <cell r="F629" t="str">
            <v>Prélèvements gynécologiques</v>
          </cell>
          <cell r="L629" t="str">
            <v xml:space="preserve">Viskali
Microbiologie : Prélèvements effectués à l'unité de prélèvement (UP) (GEDI 3706)
</v>
          </cell>
          <cell r="M629" t="str">
            <v>extension demandée en novembre 2024</v>
          </cell>
          <cell r="Q629" t="str">
            <v xml:space="preserve">BM PP01 _ NA _ Frottis cervico-vaginal _  _  _  _ </v>
          </cell>
        </row>
        <row r="630">
          <cell r="B630" t="str">
            <v xml:space="preserve">Centres de prélèvement 
</v>
          </cell>
          <cell r="F630" t="str">
            <v xml:space="preserve">
Nasopharyngés
Oropharyngés</v>
          </cell>
          <cell r="L630" t="str">
            <v xml:space="preserve">Viskali
Microbiologie : Prélèvements effectués à l'unité de prélèvement (UP) (GEDI 3706)
</v>
          </cell>
          <cell r="M630" t="str">
            <v>extension demandée en novembre 2024</v>
          </cell>
          <cell r="Q630" t="str">
            <v xml:space="preserve">BM PP01 _ NA _ Ecouvillonnage pour examens microbiologiques _  _  _  _ </v>
          </cell>
        </row>
        <row r="631">
          <cell r="B631" t="str">
            <v xml:space="preserve">Centres de prélèvement 
</v>
          </cell>
          <cell r="F631" t="str">
            <v>Peau
Phanères
Tissus cellulaires sous-cutanés</v>
          </cell>
          <cell r="L631" t="str">
            <v>Viskali
Procédure opératoire de la recherche de sarcopte (gale) (GEDI 1212)
MO prélèvement mycologique</v>
          </cell>
          <cell r="M631" t="str">
            <v>extension demandée en novembre 2024</v>
          </cell>
          <cell r="Q631" t="str">
            <v xml:space="preserve">BM PP01 _ NA _ Prélèvement cutané pour examens microbiologiques
Prélèvement des phanères pour examens microbiologiques _  _  _  _ </v>
          </cell>
        </row>
        <row r="632">
          <cell r="B632" t="str">
            <v>Consultation hématologie
Services de soins</v>
          </cell>
          <cell r="F632" t="str">
            <v>Moelle osseuse</v>
          </cell>
          <cell r="L632" t="str">
            <v>Viskali
Protocole de prélèvement du myélogramme GEDI 1768</v>
          </cell>
          <cell r="M632" t="str">
            <v>extension demandée en novembre 2024</v>
          </cell>
          <cell r="Q632" t="str">
            <v xml:space="preserve">BM PP01 _ NA _ Ponction sternale ou iliaque _  _  _  _ </v>
          </cell>
        </row>
        <row r="633">
          <cell r="Q633" t="str">
            <v xml:space="preserve"> _  _  _  _  _  _ </v>
          </cell>
        </row>
        <row r="634">
          <cell r="Q634" t="str">
            <v xml:space="preserve"> _  _  _  _  _  _ </v>
          </cell>
        </row>
      </sheetData>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4"/>
  <sheetViews>
    <sheetView tabSelected="1" workbookViewId="0">
      <selection activeCell="E10" sqref="E10:F10"/>
    </sheetView>
  </sheetViews>
  <sheetFormatPr baseColWidth="10" defaultRowHeight="12.75" x14ac:dyDescent="0.2"/>
  <cols>
    <col min="1" max="1" width="26.28515625" customWidth="1"/>
    <col min="4" max="4" width="15" customWidth="1"/>
    <col min="5" max="5" width="17.42578125" customWidth="1"/>
    <col min="11" max="11" width="16" customWidth="1"/>
    <col min="13" max="13" width="15" style="170" customWidth="1"/>
  </cols>
  <sheetData>
    <row r="1" spans="1:21" x14ac:dyDescent="0.2">
      <c r="A1" s="420"/>
      <c r="B1" s="1" t="s">
        <v>0</v>
      </c>
      <c r="C1" s="2" t="s">
        <v>1</v>
      </c>
      <c r="D1" s="2" t="s">
        <v>2</v>
      </c>
      <c r="E1" s="2" t="s">
        <v>3</v>
      </c>
      <c r="F1" s="3" t="s">
        <v>4</v>
      </c>
      <c r="G1" s="4"/>
      <c r="H1" s="4"/>
      <c r="I1" s="4"/>
      <c r="J1" s="4"/>
      <c r="K1" s="4"/>
      <c r="L1" s="4"/>
      <c r="M1" s="263"/>
      <c r="N1" s="4"/>
      <c r="O1" s="4"/>
      <c r="P1" s="4"/>
      <c r="Q1" s="4"/>
      <c r="R1" s="4"/>
      <c r="S1" s="4"/>
      <c r="T1" s="4"/>
      <c r="U1" s="4"/>
    </row>
    <row r="2" spans="1:21" ht="24" x14ac:dyDescent="0.2">
      <c r="A2" s="421"/>
      <c r="B2" s="5" t="s">
        <v>1834</v>
      </c>
      <c r="C2" s="6">
        <v>14</v>
      </c>
      <c r="D2" s="6">
        <v>15081</v>
      </c>
      <c r="E2" s="6">
        <v>46</v>
      </c>
      <c r="F2" s="7" t="s">
        <v>1835</v>
      </c>
      <c r="G2" s="4"/>
      <c r="H2" s="4"/>
      <c r="I2" s="4"/>
      <c r="J2" s="4"/>
      <c r="K2" s="4"/>
      <c r="L2" s="4"/>
      <c r="M2" s="263"/>
      <c r="N2" s="4"/>
      <c r="O2" s="4"/>
      <c r="P2" s="4"/>
      <c r="Q2" s="4"/>
      <c r="R2" s="4"/>
      <c r="S2" s="4"/>
      <c r="T2" s="4"/>
      <c r="U2" s="4"/>
    </row>
    <row r="3" spans="1:21" x14ac:dyDescent="0.2">
      <c r="A3" s="422"/>
      <c r="B3" s="423" t="s">
        <v>1828</v>
      </c>
      <c r="C3" s="424"/>
      <c r="D3" s="424"/>
      <c r="E3" s="424"/>
      <c r="F3" s="425"/>
      <c r="G3" s="4"/>
      <c r="H3" s="4"/>
      <c r="I3" s="4"/>
      <c r="J3" s="4"/>
      <c r="K3" s="4"/>
      <c r="L3" s="4"/>
      <c r="M3" s="263"/>
      <c r="N3" s="4"/>
      <c r="O3" s="4"/>
      <c r="P3" s="4"/>
      <c r="Q3" s="4"/>
      <c r="R3" s="4"/>
      <c r="S3" s="4"/>
      <c r="T3" s="4"/>
      <c r="U3" s="4"/>
    </row>
    <row r="4" spans="1:21" ht="18" customHeight="1" thickBot="1" x14ac:dyDescent="0.35">
      <c r="A4" s="426" t="s">
        <v>1827</v>
      </c>
      <c r="B4" s="427"/>
      <c r="C4" s="427"/>
      <c r="D4" s="427"/>
      <c r="E4" s="427"/>
      <c r="F4" s="428"/>
      <c r="G4" s="4"/>
      <c r="H4" s="4"/>
      <c r="I4" s="4"/>
      <c r="J4" s="4"/>
      <c r="K4" s="4"/>
      <c r="L4" s="4"/>
      <c r="M4" s="263"/>
      <c r="N4" s="4"/>
      <c r="O4" s="4"/>
      <c r="P4" s="4"/>
      <c r="Q4" s="4"/>
      <c r="R4" s="4"/>
      <c r="S4" s="4"/>
      <c r="T4" s="4"/>
      <c r="U4" s="4"/>
    </row>
    <row r="5" spans="1:21" ht="13.5" thickBot="1" x14ac:dyDescent="0.25">
      <c r="A5" s="4"/>
      <c r="B5" s="4"/>
      <c r="C5" s="4"/>
      <c r="D5" s="4"/>
      <c r="E5" s="4"/>
      <c r="F5" s="4"/>
      <c r="G5" s="4"/>
      <c r="H5" s="4"/>
      <c r="I5" s="4"/>
      <c r="J5" s="4"/>
      <c r="K5" s="4"/>
      <c r="L5" s="4"/>
      <c r="M5" s="263"/>
      <c r="N5" s="4"/>
      <c r="O5" s="4"/>
      <c r="P5" s="4"/>
      <c r="Q5" s="4"/>
      <c r="R5" s="4"/>
      <c r="S5" s="4"/>
      <c r="T5" s="4"/>
      <c r="U5" s="4"/>
    </row>
    <row r="6" spans="1:21" ht="15" customHeight="1" x14ac:dyDescent="0.2">
      <c r="A6" s="433" t="s">
        <v>5</v>
      </c>
      <c r="B6" s="434"/>
      <c r="C6" s="434"/>
      <c r="D6" s="434"/>
      <c r="E6" s="434"/>
      <c r="F6" s="435"/>
      <c r="G6" s="4"/>
      <c r="H6" s="4"/>
      <c r="I6" s="4"/>
      <c r="J6" s="4"/>
      <c r="K6" s="4"/>
      <c r="L6" s="4"/>
      <c r="M6" s="263"/>
      <c r="N6" s="4"/>
      <c r="O6" s="4"/>
      <c r="P6" s="4"/>
      <c r="Q6" s="4"/>
      <c r="R6" s="4"/>
      <c r="S6" s="4"/>
      <c r="T6" s="4"/>
      <c r="U6" s="4"/>
    </row>
    <row r="7" spans="1:21" ht="14.25" customHeight="1" x14ac:dyDescent="0.2">
      <c r="A7" s="436" t="s">
        <v>1829</v>
      </c>
      <c r="B7" s="437"/>
      <c r="C7" s="437"/>
      <c r="D7" s="437"/>
      <c r="E7" s="437"/>
      <c r="F7" s="438"/>
      <c r="G7" s="4"/>
      <c r="H7" s="4"/>
      <c r="I7" s="4"/>
      <c r="J7" s="4"/>
      <c r="K7" s="4"/>
      <c r="L7" s="4"/>
      <c r="M7" s="263"/>
      <c r="N7" s="4"/>
      <c r="O7" s="4"/>
      <c r="P7" s="4"/>
      <c r="Q7" s="4"/>
      <c r="R7" s="4"/>
      <c r="S7" s="4"/>
      <c r="T7" s="4"/>
      <c r="U7" s="4"/>
    </row>
    <row r="8" spans="1:21" x14ac:dyDescent="0.2">
      <c r="A8" s="445"/>
      <c r="B8" s="443"/>
      <c r="C8" s="443" t="s">
        <v>1830</v>
      </c>
      <c r="D8" s="443"/>
      <c r="E8" s="443" t="s">
        <v>1836</v>
      </c>
      <c r="F8" s="444"/>
      <c r="G8" s="4"/>
      <c r="H8" s="4"/>
      <c r="I8" s="4"/>
      <c r="J8" s="4"/>
      <c r="K8" s="4"/>
      <c r="L8" s="4"/>
      <c r="M8" s="263"/>
      <c r="N8" s="4"/>
      <c r="O8" s="4"/>
      <c r="P8" s="4"/>
      <c r="Q8" s="4"/>
      <c r="R8" s="4"/>
      <c r="S8" s="4"/>
      <c r="T8" s="4"/>
      <c r="U8" s="4"/>
    </row>
    <row r="9" spans="1:21" ht="24" customHeight="1" x14ac:dyDescent="0.2">
      <c r="A9" s="429" t="s">
        <v>6</v>
      </c>
      <c r="B9" s="430"/>
      <c r="C9" s="439" t="s">
        <v>1833</v>
      </c>
      <c r="D9" s="439"/>
      <c r="E9" s="439" t="s">
        <v>1832</v>
      </c>
      <c r="F9" s="440"/>
      <c r="G9" s="4"/>
      <c r="H9" s="4"/>
      <c r="I9" s="4"/>
      <c r="J9" s="4"/>
      <c r="K9" s="4"/>
      <c r="L9" s="4"/>
      <c r="M9" s="263"/>
      <c r="N9" s="4"/>
      <c r="O9" s="4"/>
      <c r="P9" s="4"/>
      <c r="Q9" s="4"/>
      <c r="R9" s="4"/>
      <c r="S9" s="4"/>
      <c r="T9" s="4"/>
      <c r="U9" s="4"/>
    </row>
    <row r="10" spans="1:21" ht="24" customHeight="1" thickBot="1" x14ac:dyDescent="0.25">
      <c r="A10" s="431" t="s">
        <v>7</v>
      </c>
      <c r="B10" s="432"/>
      <c r="C10" s="441" t="s">
        <v>1831</v>
      </c>
      <c r="D10" s="441"/>
      <c r="E10" s="441" t="s">
        <v>1837</v>
      </c>
      <c r="F10" s="442"/>
      <c r="G10" s="4"/>
      <c r="H10" s="4"/>
      <c r="I10" s="4"/>
      <c r="J10" s="4"/>
      <c r="K10" s="4"/>
      <c r="L10" s="4"/>
      <c r="M10" s="263"/>
      <c r="N10" s="4"/>
      <c r="O10" s="4"/>
      <c r="P10" s="4"/>
      <c r="Q10" s="4"/>
      <c r="R10" s="4"/>
      <c r="S10" s="4"/>
      <c r="T10" s="4"/>
      <c r="U10" s="4"/>
    </row>
    <row r="11" spans="1:21" x14ac:dyDescent="0.2">
      <c r="A11" s="4"/>
      <c r="B11" s="4"/>
      <c r="C11" s="4"/>
      <c r="D11" s="4"/>
      <c r="E11" s="4"/>
      <c r="F11" s="4"/>
      <c r="G11" s="4"/>
      <c r="H11" s="4"/>
      <c r="I11" s="4"/>
      <c r="J11" s="4"/>
      <c r="K11" s="4"/>
      <c r="L11" s="4"/>
      <c r="M11" s="263"/>
      <c r="N11" s="4"/>
      <c r="O11" s="4"/>
      <c r="P11" s="4"/>
      <c r="Q11" s="4"/>
      <c r="R11" s="4"/>
      <c r="S11" s="4"/>
      <c r="T11" s="4"/>
      <c r="U11" s="4"/>
    </row>
    <row r="12" spans="1:21" ht="13.5" thickBot="1" x14ac:dyDescent="0.25">
      <c r="A12" s="4"/>
      <c r="B12" s="4"/>
      <c r="C12" s="4"/>
      <c r="D12" s="4"/>
      <c r="E12" s="4"/>
      <c r="F12" s="4"/>
      <c r="G12" s="4"/>
      <c r="H12" s="4"/>
      <c r="I12" s="4"/>
      <c r="J12" s="4"/>
      <c r="K12" s="4"/>
      <c r="L12" s="4"/>
      <c r="M12" s="263"/>
      <c r="N12" s="4"/>
      <c r="O12" s="4"/>
      <c r="P12" s="4"/>
      <c r="Q12" s="4"/>
      <c r="R12" s="4"/>
      <c r="S12" s="4"/>
      <c r="T12" s="4"/>
      <c r="U12" s="4"/>
    </row>
    <row r="13" spans="1:21" ht="30" customHeight="1" thickBot="1" x14ac:dyDescent="0.25">
      <c r="A13" s="414" t="s">
        <v>8</v>
      </c>
      <c r="B13" s="415"/>
      <c r="C13" s="416"/>
      <c r="D13" s="8" t="s">
        <v>9</v>
      </c>
      <c r="E13" s="9"/>
      <c r="F13" s="9"/>
      <c r="G13" s="9"/>
      <c r="H13" s="9"/>
      <c r="I13" s="9"/>
      <c r="J13" s="10"/>
      <c r="K13" s="9"/>
      <c r="L13" s="9"/>
      <c r="M13" s="10"/>
      <c r="N13" s="9"/>
      <c r="O13" s="9"/>
      <c r="P13" s="11"/>
      <c r="Q13" s="12"/>
      <c r="R13" s="4"/>
      <c r="S13" s="4"/>
      <c r="T13" s="4"/>
      <c r="U13" s="4"/>
    </row>
    <row r="14" spans="1:21" ht="84.75" customHeight="1" thickBot="1" x14ac:dyDescent="0.25">
      <c r="A14" s="280" t="s">
        <v>10</v>
      </c>
      <c r="B14" s="281" t="s">
        <v>11</v>
      </c>
      <c r="C14" s="281" t="s">
        <v>12</v>
      </c>
      <c r="D14" s="280" t="s">
        <v>13</v>
      </c>
      <c r="E14" s="280" t="s">
        <v>14</v>
      </c>
      <c r="F14" s="280" t="s">
        <v>15</v>
      </c>
      <c r="G14" s="417" t="s">
        <v>1646</v>
      </c>
      <c r="H14" s="418"/>
      <c r="I14" s="418"/>
      <c r="J14" s="418"/>
      <c r="K14" s="419"/>
      <c r="L14" s="280" t="s">
        <v>16</v>
      </c>
      <c r="M14" s="282" t="s">
        <v>17</v>
      </c>
      <c r="N14" s="283" t="s">
        <v>18</v>
      </c>
      <c r="O14" s="284" t="s">
        <v>19</v>
      </c>
      <c r="P14" s="13" t="s">
        <v>1647</v>
      </c>
      <c r="Q14" s="12"/>
      <c r="R14" s="4"/>
      <c r="S14" s="4"/>
      <c r="T14" s="4"/>
      <c r="U14" s="4"/>
    </row>
    <row r="15" spans="1:21" ht="153" customHeight="1" x14ac:dyDescent="0.2">
      <c r="A15" s="14" t="s">
        <v>20</v>
      </c>
      <c r="B15" s="14" t="s">
        <v>21</v>
      </c>
      <c r="C15" s="14" t="s">
        <v>22</v>
      </c>
      <c r="D15" s="15" t="s">
        <v>23</v>
      </c>
      <c r="E15" s="197" t="s">
        <v>24</v>
      </c>
      <c r="F15" s="197" t="s">
        <v>25</v>
      </c>
      <c r="G15" s="197" t="s">
        <v>1490</v>
      </c>
      <c r="H15" s="197" t="s">
        <v>27</v>
      </c>
      <c r="I15" s="197" t="s">
        <v>28</v>
      </c>
      <c r="J15" s="198">
        <v>1</v>
      </c>
      <c r="K15" s="199" t="s">
        <v>1555</v>
      </c>
      <c r="L15" s="199" t="s">
        <v>29</v>
      </c>
      <c r="M15" s="203" t="s">
        <v>1557</v>
      </c>
      <c r="N15" s="197" t="s">
        <v>30</v>
      </c>
      <c r="O15" s="198" t="s">
        <v>31</v>
      </c>
      <c r="P15" s="199">
        <v>23516</v>
      </c>
      <c r="Q15" s="18" t="str">
        <f>CONCATENATE(N15," _ ",O15," _ ",G15," _ ",H15," _ ",I15," _ ",J15," _ ",K15)</f>
        <v>BM BB01 _ A _ Cinétique enzymatique standardisée IFCC  _ Quantitatif _ Automatisée _ 1 _ Cobas Pro Roche</v>
      </c>
      <c r="R15" s="4"/>
      <c r="S15" s="4"/>
      <c r="T15" s="4"/>
      <c r="U15" s="4"/>
    </row>
    <row r="16" spans="1:21" ht="63.75" x14ac:dyDescent="0.2">
      <c r="A16" s="14" t="s">
        <v>20</v>
      </c>
      <c r="B16" s="19" t="s">
        <v>21</v>
      </c>
      <c r="C16" s="14" t="s">
        <v>22</v>
      </c>
      <c r="D16" s="15" t="s">
        <v>23</v>
      </c>
      <c r="E16" s="200" t="s">
        <v>32</v>
      </c>
      <c r="F16" s="197" t="s">
        <v>25</v>
      </c>
      <c r="G16" s="197" t="s">
        <v>33</v>
      </c>
      <c r="H16" s="197" t="s">
        <v>27</v>
      </c>
      <c r="I16" s="197" t="s">
        <v>28</v>
      </c>
      <c r="J16" s="198">
        <v>3</v>
      </c>
      <c r="K16" s="275" t="s">
        <v>1563</v>
      </c>
      <c r="L16" s="247" t="s">
        <v>34</v>
      </c>
      <c r="M16" s="276" t="s">
        <v>1633</v>
      </c>
      <c r="N16" s="197" t="s">
        <v>30</v>
      </c>
      <c r="O16" s="198" t="s">
        <v>31</v>
      </c>
      <c r="P16" s="199">
        <v>321279</v>
      </c>
      <c r="Q16" s="18" t="str">
        <f t="shared" ref="Q16:Q79" si="0">CONCATENATE(N16," _ ",O16," _ ",G16," _ ",H16," _ ",I16," _ ",J16," _ ",K16)</f>
        <v xml:space="preserve">BM BB01 _ A _ Potentiométrie indirecte _ Quantitatif _ Automatisée _ 3 _ Cobas Pro Roche
</v>
      </c>
      <c r="R16" s="4"/>
      <c r="S16" s="4"/>
      <c r="T16" s="4"/>
      <c r="U16" s="4"/>
    </row>
    <row r="17" spans="1:21" ht="63.75" x14ac:dyDescent="0.2">
      <c r="A17" s="14" t="s">
        <v>20</v>
      </c>
      <c r="B17" s="19" t="s">
        <v>21</v>
      </c>
      <c r="C17" s="14" t="s">
        <v>22</v>
      </c>
      <c r="D17" s="15" t="s">
        <v>23</v>
      </c>
      <c r="E17" s="200" t="s">
        <v>35</v>
      </c>
      <c r="F17" s="197" t="s">
        <v>25</v>
      </c>
      <c r="G17" s="197" t="s">
        <v>36</v>
      </c>
      <c r="H17" s="197" t="s">
        <v>27</v>
      </c>
      <c r="I17" s="197" t="s">
        <v>28</v>
      </c>
      <c r="J17" s="198">
        <v>3</v>
      </c>
      <c r="K17" s="275" t="s">
        <v>1563</v>
      </c>
      <c r="L17" s="247" t="s">
        <v>37</v>
      </c>
      <c r="M17" s="276" t="s">
        <v>1633</v>
      </c>
      <c r="N17" s="197" t="s">
        <v>30</v>
      </c>
      <c r="O17" s="198" t="s">
        <v>31</v>
      </c>
      <c r="P17" s="199">
        <v>46706</v>
      </c>
      <c r="Q17" s="18" t="str">
        <f t="shared" si="0"/>
        <v xml:space="preserve">BM BB01 _ A _ Electrochimiluminescence _ Quantitatif _ Automatisée _ 3 _ Cobas Pro Roche
</v>
      </c>
      <c r="R17" s="4"/>
      <c r="S17" s="4"/>
      <c r="T17" s="4"/>
      <c r="U17" s="4"/>
    </row>
    <row r="18" spans="1:21" ht="63.75" x14ac:dyDescent="0.2">
      <c r="A18" s="14" t="s">
        <v>20</v>
      </c>
      <c r="B18" s="19" t="s">
        <v>21</v>
      </c>
      <c r="C18" s="19" t="s">
        <v>22</v>
      </c>
      <c r="D18" s="15" t="s">
        <v>23</v>
      </c>
      <c r="E18" s="197" t="s">
        <v>38</v>
      </c>
      <c r="F18" s="197" t="s">
        <v>25</v>
      </c>
      <c r="G18" s="201" t="s">
        <v>39</v>
      </c>
      <c r="H18" s="201" t="s">
        <v>27</v>
      </c>
      <c r="I18" s="201" t="s">
        <v>28</v>
      </c>
      <c r="J18" s="198">
        <v>3</v>
      </c>
      <c r="K18" s="275" t="s">
        <v>1563</v>
      </c>
      <c r="L18" s="247" t="s">
        <v>40</v>
      </c>
      <c r="M18" s="276" t="s">
        <v>1633</v>
      </c>
      <c r="N18" s="197" t="s">
        <v>30</v>
      </c>
      <c r="O18" s="198" t="s">
        <v>31</v>
      </c>
      <c r="P18" s="199">
        <v>148556</v>
      </c>
      <c r="Q18" s="18" t="str">
        <f t="shared" si="0"/>
        <v xml:space="preserve">BM BB01 _ A _ Colorimétrie enzymatique  _ Quantitatif _ Automatisée _ 3 _ Cobas Pro Roche
</v>
      </c>
      <c r="R18" s="4"/>
      <c r="S18" s="4"/>
      <c r="T18" s="4"/>
      <c r="U18" s="4"/>
    </row>
    <row r="19" spans="1:21" ht="63.75" x14ac:dyDescent="0.2">
      <c r="A19" s="14" t="s">
        <v>20</v>
      </c>
      <c r="B19" s="19" t="s">
        <v>21</v>
      </c>
      <c r="C19" s="19" t="s">
        <v>22</v>
      </c>
      <c r="D19" s="15" t="s">
        <v>23</v>
      </c>
      <c r="E19" s="197" t="s">
        <v>41</v>
      </c>
      <c r="F19" s="197" t="s">
        <v>25</v>
      </c>
      <c r="G19" s="201" t="s">
        <v>42</v>
      </c>
      <c r="H19" s="201" t="s">
        <v>27</v>
      </c>
      <c r="I19" s="201" t="s">
        <v>28</v>
      </c>
      <c r="J19" s="198">
        <v>2</v>
      </c>
      <c r="K19" s="275" t="s">
        <v>1563</v>
      </c>
      <c r="L19" s="247" t="s">
        <v>43</v>
      </c>
      <c r="M19" s="276" t="s">
        <v>1633</v>
      </c>
      <c r="N19" s="197" t="s">
        <v>30</v>
      </c>
      <c r="O19" s="198" t="s">
        <v>31</v>
      </c>
      <c r="P19" s="199">
        <v>58673</v>
      </c>
      <c r="Q19" s="18" t="str">
        <f t="shared" si="0"/>
        <v xml:space="preserve">BM BB01 _ A _ Colorimétrie  _ Quantitatif _ Automatisée _ 2 _ Cobas Pro Roche
</v>
      </c>
      <c r="R19" s="4"/>
      <c r="S19" s="4"/>
      <c r="T19" s="4"/>
      <c r="U19" s="4"/>
    </row>
    <row r="20" spans="1:21" ht="63.75" x14ac:dyDescent="0.2">
      <c r="A20" s="14" t="s">
        <v>20</v>
      </c>
      <c r="B20" s="19" t="s">
        <v>21</v>
      </c>
      <c r="C20" s="19" t="s">
        <v>22</v>
      </c>
      <c r="D20" s="15" t="s">
        <v>23</v>
      </c>
      <c r="E20" s="197" t="s">
        <v>44</v>
      </c>
      <c r="F20" s="197" t="s">
        <v>25</v>
      </c>
      <c r="G20" s="201" t="s">
        <v>33</v>
      </c>
      <c r="H20" s="201" t="s">
        <v>27</v>
      </c>
      <c r="I20" s="201" t="s">
        <v>28</v>
      </c>
      <c r="J20" s="198">
        <v>3</v>
      </c>
      <c r="K20" s="275" t="s">
        <v>1563</v>
      </c>
      <c r="L20" s="247" t="s">
        <v>45</v>
      </c>
      <c r="M20" s="276" t="s">
        <v>1633</v>
      </c>
      <c r="N20" s="197" t="s">
        <v>30</v>
      </c>
      <c r="O20" s="198" t="s">
        <v>31</v>
      </c>
      <c r="P20" s="199">
        <v>319850</v>
      </c>
      <c r="Q20" s="18" t="str">
        <f t="shared" si="0"/>
        <v xml:space="preserve">BM BB01 _ A _ Potentiométrie indirecte _ Quantitatif _ Automatisée _ 3 _ Cobas Pro Roche
</v>
      </c>
      <c r="R20" s="4"/>
      <c r="S20" s="4"/>
      <c r="T20" s="4"/>
      <c r="U20" s="4"/>
    </row>
    <row r="21" spans="1:21" ht="63.75" x14ac:dyDescent="0.2">
      <c r="A21" s="14" t="s">
        <v>20</v>
      </c>
      <c r="B21" s="19" t="s">
        <v>21</v>
      </c>
      <c r="C21" s="19" t="s">
        <v>22</v>
      </c>
      <c r="D21" s="15" t="s">
        <v>23</v>
      </c>
      <c r="E21" s="197" t="s">
        <v>46</v>
      </c>
      <c r="F21" s="197" t="s">
        <v>25</v>
      </c>
      <c r="G21" s="201" t="s">
        <v>47</v>
      </c>
      <c r="H21" s="201" t="s">
        <v>27</v>
      </c>
      <c r="I21" s="201" t="s">
        <v>28</v>
      </c>
      <c r="J21" s="198">
        <v>2</v>
      </c>
      <c r="K21" s="275" t="s">
        <v>1563</v>
      </c>
      <c r="L21" s="247" t="s">
        <v>48</v>
      </c>
      <c r="M21" s="276" t="s">
        <v>1633</v>
      </c>
      <c r="N21" s="197" t="s">
        <v>30</v>
      </c>
      <c r="O21" s="198" t="s">
        <v>31</v>
      </c>
      <c r="P21" s="199">
        <v>15402</v>
      </c>
      <c r="Q21" s="18" t="str">
        <f t="shared" si="0"/>
        <v xml:space="preserve">BM BB01 _ A _ Colorimétrie enzymatique _ Quantitatif _ Automatisée _ 2 _ Cobas Pro Roche
</v>
      </c>
      <c r="R21" s="4"/>
      <c r="S21" s="4"/>
      <c r="T21" s="4"/>
      <c r="U21" s="4"/>
    </row>
    <row r="22" spans="1:21" ht="63.75" x14ac:dyDescent="0.2">
      <c r="A22" s="14" t="s">
        <v>20</v>
      </c>
      <c r="B22" s="19" t="s">
        <v>21</v>
      </c>
      <c r="C22" s="19" t="s">
        <v>22</v>
      </c>
      <c r="D22" s="15" t="s">
        <v>23</v>
      </c>
      <c r="E22" s="197" t="s">
        <v>49</v>
      </c>
      <c r="F22" s="197" t="s">
        <v>25</v>
      </c>
      <c r="G22" s="201" t="s">
        <v>50</v>
      </c>
      <c r="H22" s="201" t="s">
        <v>27</v>
      </c>
      <c r="I22" s="201" t="s">
        <v>28</v>
      </c>
      <c r="J22" s="198">
        <v>3</v>
      </c>
      <c r="K22" s="275" t="s">
        <v>1563</v>
      </c>
      <c r="L22" s="247" t="s">
        <v>51</v>
      </c>
      <c r="M22" s="276" t="s">
        <v>1633</v>
      </c>
      <c r="N22" s="197" t="s">
        <v>30</v>
      </c>
      <c r="O22" s="198" t="s">
        <v>31</v>
      </c>
      <c r="P22" s="199">
        <v>112841</v>
      </c>
      <c r="Q22" s="18" t="str">
        <f t="shared" si="0"/>
        <v xml:space="preserve">BM BB01 _ A _ Colorimétrie _ Quantitatif _ Automatisée _ 3 _ Cobas Pro Roche
</v>
      </c>
      <c r="R22" s="4"/>
      <c r="S22" s="4"/>
      <c r="T22" s="4"/>
      <c r="U22" s="4"/>
    </row>
    <row r="23" spans="1:21" ht="63.75" x14ac:dyDescent="0.2">
      <c r="A23" s="14" t="s">
        <v>20</v>
      </c>
      <c r="B23" s="19" t="s">
        <v>21</v>
      </c>
      <c r="C23" s="19" t="s">
        <v>22</v>
      </c>
      <c r="D23" s="15" t="s">
        <v>23</v>
      </c>
      <c r="E23" s="197" t="s">
        <v>52</v>
      </c>
      <c r="F23" s="197" t="s">
        <v>25</v>
      </c>
      <c r="G23" s="201" t="s">
        <v>53</v>
      </c>
      <c r="H23" s="201" t="s">
        <v>27</v>
      </c>
      <c r="I23" s="201" t="s">
        <v>28</v>
      </c>
      <c r="J23" s="198">
        <v>3</v>
      </c>
      <c r="K23" s="275" t="s">
        <v>1563</v>
      </c>
      <c r="L23" s="247" t="s">
        <v>54</v>
      </c>
      <c r="M23" s="276" t="s">
        <v>1633</v>
      </c>
      <c r="N23" s="197" t="s">
        <v>30</v>
      </c>
      <c r="O23" s="198" t="s">
        <v>31</v>
      </c>
      <c r="P23" s="199">
        <v>313299</v>
      </c>
      <c r="Q23" s="18" t="str">
        <f t="shared" si="0"/>
        <v xml:space="preserve">BM BB01 _ A _ Méthode enzymatique (Uréase) _ Quantitatif _ Automatisée _ 3 _ Cobas Pro Roche
</v>
      </c>
      <c r="R23" s="4"/>
      <c r="S23" s="4"/>
      <c r="T23" s="4"/>
      <c r="U23" s="4"/>
    </row>
    <row r="24" spans="1:21" ht="51" x14ac:dyDescent="0.2">
      <c r="A24" s="14" t="s">
        <v>20</v>
      </c>
      <c r="B24" s="19" t="s">
        <v>21</v>
      </c>
      <c r="C24" s="19" t="s">
        <v>22</v>
      </c>
      <c r="D24" s="15" t="s">
        <v>23</v>
      </c>
      <c r="E24" s="200" t="s">
        <v>55</v>
      </c>
      <c r="F24" s="197" t="s">
        <v>25</v>
      </c>
      <c r="G24" s="201" t="s">
        <v>36</v>
      </c>
      <c r="H24" s="201" t="s">
        <v>27</v>
      </c>
      <c r="I24" s="201" t="s">
        <v>28</v>
      </c>
      <c r="J24" s="198">
        <v>2</v>
      </c>
      <c r="K24" s="246" t="s">
        <v>1556</v>
      </c>
      <c r="L24" s="246" t="s">
        <v>56</v>
      </c>
      <c r="M24" s="203" t="s">
        <v>1557</v>
      </c>
      <c r="N24" s="197" t="s">
        <v>30</v>
      </c>
      <c r="O24" s="198" t="s">
        <v>31</v>
      </c>
      <c r="P24" s="199">
        <v>35798</v>
      </c>
      <c r="Q24" s="18" t="str">
        <f t="shared" si="0"/>
        <v>BM BB01 _ A _ Electrochimiluminescence _ Quantitatif _ Automatisée _ 2 _ Cobas pro Roche</v>
      </c>
      <c r="R24" s="4"/>
      <c r="S24" s="4"/>
      <c r="T24" s="4"/>
      <c r="U24" s="4"/>
    </row>
    <row r="25" spans="1:21" ht="63.75" x14ac:dyDescent="0.2">
      <c r="A25" s="14" t="s">
        <v>20</v>
      </c>
      <c r="B25" s="19" t="s">
        <v>21</v>
      </c>
      <c r="C25" s="19" t="s">
        <v>22</v>
      </c>
      <c r="D25" s="15" t="s">
        <v>23</v>
      </c>
      <c r="E25" s="197" t="s">
        <v>57</v>
      </c>
      <c r="F25" s="197" t="s">
        <v>25</v>
      </c>
      <c r="G25" s="201" t="s">
        <v>33</v>
      </c>
      <c r="H25" s="201" t="s">
        <v>27</v>
      </c>
      <c r="I25" s="201" t="s">
        <v>28</v>
      </c>
      <c r="J25" s="198">
        <v>3</v>
      </c>
      <c r="K25" s="275" t="s">
        <v>1563</v>
      </c>
      <c r="L25" s="247" t="s">
        <v>58</v>
      </c>
      <c r="M25" s="276" t="s">
        <v>1633</v>
      </c>
      <c r="N25" s="197" t="s">
        <v>30</v>
      </c>
      <c r="O25" s="198" t="s">
        <v>31</v>
      </c>
      <c r="P25" s="199">
        <v>321491</v>
      </c>
      <c r="Q25" s="18" t="str">
        <f t="shared" si="0"/>
        <v xml:space="preserve">BM BB01 _ A _ Potentiométrie indirecte _ Quantitatif _ Automatisée _ 3 _ Cobas Pro Roche
</v>
      </c>
      <c r="R25" s="4"/>
      <c r="S25" s="4"/>
      <c r="T25" s="4"/>
      <c r="U25" s="4"/>
    </row>
    <row r="26" spans="1:21" ht="63.75" x14ac:dyDescent="0.2">
      <c r="A26" s="14" t="s">
        <v>20</v>
      </c>
      <c r="B26" s="19" t="s">
        <v>21</v>
      </c>
      <c r="C26" s="19" t="s">
        <v>22</v>
      </c>
      <c r="D26" s="15" t="s">
        <v>23</v>
      </c>
      <c r="E26" s="200" t="s">
        <v>59</v>
      </c>
      <c r="F26" s="197" t="s">
        <v>25</v>
      </c>
      <c r="G26" s="201" t="s">
        <v>60</v>
      </c>
      <c r="H26" s="201" t="s">
        <v>27</v>
      </c>
      <c r="I26" s="201" t="s">
        <v>28</v>
      </c>
      <c r="J26" s="198">
        <v>3</v>
      </c>
      <c r="K26" s="275" t="s">
        <v>1563</v>
      </c>
      <c r="L26" s="247" t="s">
        <v>61</v>
      </c>
      <c r="M26" s="276" t="s">
        <v>1633</v>
      </c>
      <c r="N26" s="197" t="s">
        <v>30</v>
      </c>
      <c r="O26" s="198" t="s">
        <v>31</v>
      </c>
      <c r="P26" s="199">
        <v>318697</v>
      </c>
      <c r="Q26" s="18" t="str">
        <f t="shared" si="0"/>
        <v xml:space="preserve">BM BB01 _ A _ Colorimétrique (Biuret) _ Quantitatif _ Automatisée _ 3 _ Cobas Pro Roche
</v>
      </c>
      <c r="R26" s="4"/>
      <c r="S26" s="4"/>
      <c r="T26" s="4"/>
      <c r="U26" s="4"/>
    </row>
    <row r="27" spans="1:21" ht="63.75" x14ac:dyDescent="0.2">
      <c r="A27" s="14" t="s">
        <v>20</v>
      </c>
      <c r="B27" s="19" t="s">
        <v>21</v>
      </c>
      <c r="C27" s="19" t="s">
        <v>22</v>
      </c>
      <c r="D27" s="15" t="s">
        <v>23</v>
      </c>
      <c r="E27" s="197" t="s">
        <v>62</v>
      </c>
      <c r="F27" s="197" t="s">
        <v>25</v>
      </c>
      <c r="G27" s="201" t="s">
        <v>36</v>
      </c>
      <c r="H27" s="201" t="s">
        <v>27</v>
      </c>
      <c r="I27" s="201" t="s">
        <v>28</v>
      </c>
      <c r="J27" s="198">
        <v>2</v>
      </c>
      <c r="K27" s="275" t="s">
        <v>1563</v>
      </c>
      <c r="L27" s="247" t="s">
        <v>63</v>
      </c>
      <c r="M27" s="276" t="s">
        <v>1633</v>
      </c>
      <c r="N27" s="197" t="s">
        <v>30</v>
      </c>
      <c r="O27" s="198" t="s">
        <v>31</v>
      </c>
      <c r="P27" s="199">
        <v>46675</v>
      </c>
      <c r="Q27" s="18" t="str">
        <f t="shared" si="0"/>
        <v xml:space="preserve">BM BB01 _ A _ Electrochimiluminescence _ Quantitatif _ Automatisée _ 2 _ Cobas Pro Roche
</v>
      </c>
      <c r="R27" s="4"/>
      <c r="S27" s="4"/>
      <c r="T27" s="4"/>
      <c r="U27" s="4"/>
    </row>
    <row r="28" spans="1:21" ht="63.75" x14ac:dyDescent="0.2">
      <c r="A28" s="14" t="s">
        <v>20</v>
      </c>
      <c r="B28" s="19" t="s">
        <v>21</v>
      </c>
      <c r="C28" s="19" t="s">
        <v>22</v>
      </c>
      <c r="D28" s="15" t="s">
        <v>23</v>
      </c>
      <c r="E28" s="197" t="s">
        <v>64</v>
      </c>
      <c r="F28" s="197" t="s">
        <v>25</v>
      </c>
      <c r="G28" s="201" t="s">
        <v>65</v>
      </c>
      <c r="H28" s="201" t="s">
        <v>27</v>
      </c>
      <c r="I28" s="201" t="s">
        <v>28</v>
      </c>
      <c r="J28" s="198">
        <v>3</v>
      </c>
      <c r="K28" s="275" t="s">
        <v>1563</v>
      </c>
      <c r="L28" s="247" t="s">
        <v>66</v>
      </c>
      <c r="M28" s="276" t="s">
        <v>1633</v>
      </c>
      <c r="N28" s="197" t="s">
        <v>30</v>
      </c>
      <c r="O28" s="198" t="s">
        <v>31</v>
      </c>
      <c r="P28" s="199">
        <v>148498</v>
      </c>
      <c r="Q28" s="18" t="str">
        <f t="shared" si="0"/>
        <v xml:space="preserve">BM BB01 _ A _ Colorimétrie   _ Quantitatif _ Automatisée _ 3 _ Cobas Pro Roche
</v>
      </c>
      <c r="R28" s="4"/>
      <c r="S28" s="4"/>
      <c r="T28" s="4"/>
      <c r="U28" s="4"/>
    </row>
    <row r="29" spans="1:21" ht="63.75" x14ac:dyDescent="0.2">
      <c r="A29" s="14" t="s">
        <v>20</v>
      </c>
      <c r="B29" s="19" t="s">
        <v>21</v>
      </c>
      <c r="C29" s="14" t="s">
        <v>22</v>
      </c>
      <c r="D29" s="15" t="s">
        <v>23</v>
      </c>
      <c r="E29" s="197" t="s">
        <v>67</v>
      </c>
      <c r="F29" s="197" t="s">
        <v>25</v>
      </c>
      <c r="G29" s="197" t="s">
        <v>47</v>
      </c>
      <c r="H29" s="197" t="s">
        <v>27</v>
      </c>
      <c r="I29" s="197" t="s">
        <v>28</v>
      </c>
      <c r="J29" s="198">
        <v>3</v>
      </c>
      <c r="K29" s="275" t="s">
        <v>1563</v>
      </c>
      <c r="L29" s="247" t="s">
        <v>68</v>
      </c>
      <c r="M29" s="276" t="s">
        <v>1633</v>
      </c>
      <c r="N29" s="197" t="s">
        <v>30</v>
      </c>
      <c r="O29" s="198" t="s">
        <v>31</v>
      </c>
      <c r="P29" s="199">
        <v>17028</v>
      </c>
      <c r="Q29" s="18" t="str">
        <f t="shared" si="0"/>
        <v xml:space="preserve">BM BB01 _ A _ Colorimétrie enzymatique _ Quantitatif _ Automatisée _ 3 _ Cobas Pro Roche
</v>
      </c>
      <c r="R29" s="4"/>
      <c r="S29" s="4"/>
      <c r="T29" s="4"/>
      <c r="U29" s="4"/>
    </row>
    <row r="30" spans="1:21" ht="51" x14ac:dyDescent="0.2">
      <c r="A30" s="14" t="s">
        <v>20</v>
      </c>
      <c r="B30" s="19" t="s">
        <v>21</v>
      </c>
      <c r="C30" s="22" t="s">
        <v>69</v>
      </c>
      <c r="D30" s="15" t="s">
        <v>23</v>
      </c>
      <c r="E30" s="202" t="s">
        <v>70</v>
      </c>
      <c r="F30" s="202" t="s">
        <v>25</v>
      </c>
      <c r="G30" s="202" t="s">
        <v>36</v>
      </c>
      <c r="H30" s="202" t="s">
        <v>27</v>
      </c>
      <c r="I30" s="202" t="s">
        <v>28</v>
      </c>
      <c r="J30" s="198">
        <v>2</v>
      </c>
      <c r="K30" s="246" t="s">
        <v>1555</v>
      </c>
      <c r="L30" s="247" t="s">
        <v>71</v>
      </c>
      <c r="M30" s="203" t="s">
        <v>1557</v>
      </c>
      <c r="N30" s="197" t="s">
        <v>30</v>
      </c>
      <c r="O30" s="198" t="s">
        <v>31</v>
      </c>
      <c r="P30" s="199">
        <v>32381</v>
      </c>
      <c r="Q30" s="18" t="str">
        <f t="shared" si="0"/>
        <v>BM BB01 _ A _ Electrochimiluminescence _ Quantitatif _ Automatisée _ 2 _ Cobas Pro Roche</v>
      </c>
      <c r="R30" s="4"/>
      <c r="S30" s="4"/>
      <c r="T30" s="4"/>
      <c r="U30" s="4"/>
    </row>
    <row r="31" spans="1:21" ht="63.75" x14ac:dyDescent="0.2">
      <c r="A31" s="14" t="s">
        <v>20</v>
      </c>
      <c r="B31" s="19" t="s">
        <v>21</v>
      </c>
      <c r="C31" s="22" t="s">
        <v>69</v>
      </c>
      <c r="D31" s="15" t="s">
        <v>23</v>
      </c>
      <c r="E31" s="202" t="s">
        <v>72</v>
      </c>
      <c r="F31" s="202" t="s">
        <v>25</v>
      </c>
      <c r="G31" s="202" t="s">
        <v>73</v>
      </c>
      <c r="H31" s="202" t="s">
        <v>27</v>
      </c>
      <c r="I31" s="202" t="s">
        <v>28</v>
      </c>
      <c r="J31" s="198">
        <v>3</v>
      </c>
      <c r="K31" s="275" t="s">
        <v>1563</v>
      </c>
      <c r="L31" s="247" t="s">
        <v>74</v>
      </c>
      <c r="M31" s="276" t="s">
        <v>1633</v>
      </c>
      <c r="N31" s="197" t="s">
        <v>30</v>
      </c>
      <c r="O31" s="198" t="s">
        <v>31</v>
      </c>
      <c r="P31" s="199">
        <v>220516</v>
      </c>
      <c r="Q31" s="18" t="str">
        <f t="shared" si="0"/>
        <v xml:space="preserve">BM BB01 _ A _ Immunoturbidimétrie _ Quantitatif _ Automatisée _ 3 _ Cobas Pro Roche
</v>
      </c>
      <c r="R31" s="4"/>
      <c r="S31" s="4"/>
      <c r="T31" s="4"/>
      <c r="U31" s="4"/>
    </row>
    <row r="32" spans="1:21" ht="51" x14ac:dyDescent="0.2">
      <c r="A32" s="14" t="s">
        <v>20</v>
      </c>
      <c r="B32" s="19" t="s">
        <v>21</v>
      </c>
      <c r="C32" s="14" t="s">
        <v>69</v>
      </c>
      <c r="D32" s="15" t="s">
        <v>23</v>
      </c>
      <c r="E32" s="197" t="s">
        <v>75</v>
      </c>
      <c r="F32" s="197" t="s">
        <v>25</v>
      </c>
      <c r="G32" s="197" t="s">
        <v>47</v>
      </c>
      <c r="H32" s="197" t="s">
        <v>27</v>
      </c>
      <c r="I32" s="197" t="s">
        <v>28</v>
      </c>
      <c r="J32" s="198">
        <v>2</v>
      </c>
      <c r="K32" s="246" t="s">
        <v>1555</v>
      </c>
      <c r="L32" s="199" t="s">
        <v>76</v>
      </c>
      <c r="M32" s="203" t="s">
        <v>1557</v>
      </c>
      <c r="N32" s="197" t="s">
        <v>30</v>
      </c>
      <c r="O32" s="198" t="s">
        <v>31</v>
      </c>
      <c r="P32" s="199">
        <v>25069</v>
      </c>
      <c r="Q32" s="18" t="str">
        <f t="shared" si="0"/>
        <v>BM BB01 _ A _ Colorimétrie enzymatique _ Quantitatif _ Automatisée _ 2 _ Cobas Pro Roche</v>
      </c>
      <c r="R32" s="4"/>
      <c r="S32" s="4"/>
      <c r="T32" s="4"/>
      <c r="U32" s="4"/>
    </row>
    <row r="33" spans="1:21" ht="51" x14ac:dyDescent="0.2">
      <c r="A33" s="14" t="s">
        <v>20</v>
      </c>
      <c r="B33" s="14" t="s">
        <v>21</v>
      </c>
      <c r="C33" s="14" t="s">
        <v>69</v>
      </c>
      <c r="D33" s="15" t="s">
        <v>23</v>
      </c>
      <c r="E33" s="197" t="s">
        <v>77</v>
      </c>
      <c r="F33" s="197" t="s">
        <v>25</v>
      </c>
      <c r="G33" s="197" t="s">
        <v>47</v>
      </c>
      <c r="H33" s="197" t="s">
        <v>27</v>
      </c>
      <c r="I33" s="197" t="s">
        <v>28</v>
      </c>
      <c r="J33" s="198">
        <v>2</v>
      </c>
      <c r="K33" s="246" t="s">
        <v>1555</v>
      </c>
      <c r="L33" s="199" t="s">
        <v>76</v>
      </c>
      <c r="M33" s="203" t="s">
        <v>1557</v>
      </c>
      <c r="N33" s="197" t="s">
        <v>30</v>
      </c>
      <c r="O33" s="198" t="s">
        <v>31</v>
      </c>
      <c r="P33" s="199">
        <v>24602</v>
      </c>
      <c r="Q33" s="18" t="str">
        <f t="shared" si="0"/>
        <v>BM BB01 _ A _ Colorimétrie enzymatique _ Quantitatif _ Automatisée _ 2 _ Cobas Pro Roche</v>
      </c>
      <c r="R33" s="4"/>
      <c r="S33" s="4"/>
      <c r="T33" s="4"/>
      <c r="U33" s="4"/>
    </row>
    <row r="34" spans="1:21" ht="51" x14ac:dyDescent="0.2">
      <c r="A34" s="14" t="s">
        <v>20</v>
      </c>
      <c r="B34" s="19" t="s">
        <v>21</v>
      </c>
      <c r="C34" s="14" t="s">
        <v>69</v>
      </c>
      <c r="D34" s="15" t="s">
        <v>23</v>
      </c>
      <c r="E34" s="197" t="s">
        <v>78</v>
      </c>
      <c r="F34" s="197" t="s">
        <v>25</v>
      </c>
      <c r="G34" s="197" t="s">
        <v>47</v>
      </c>
      <c r="H34" s="197" t="s">
        <v>27</v>
      </c>
      <c r="I34" s="197" t="s">
        <v>28</v>
      </c>
      <c r="J34" s="198">
        <v>2</v>
      </c>
      <c r="K34" s="246" t="s">
        <v>1555</v>
      </c>
      <c r="L34" s="199" t="s">
        <v>79</v>
      </c>
      <c r="M34" s="203" t="s">
        <v>1557</v>
      </c>
      <c r="N34" s="197" t="s">
        <v>30</v>
      </c>
      <c r="O34" s="198" t="s">
        <v>31</v>
      </c>
      <c r="P34" s="199">
        <v>26139</v>
      </c>
      <c r="Q34" s="18" t="str">
        <f t="shared" si="0"/>
        <v>BM BB01 _ A _ Colorimétrie enzymatique _ Quantitatif _ Automatisée _ 2 _ Cobas Pro Roche</v>
      </c>
      <c r="R34" s="4"/>
      <c r="S34" s="4"/>
      <c r="T34" s="4"/>
      <c r="U34" s="4"/>
    </row>
    <row r="35" spans="1:21" ht="63.75" x14ac:dyDescent="0.2">
      <c r="A35" s="14" t="s">
        <v>20</v>
      </c>
      <c r="B35" s="19" t="s">
        <v>21</v>
      </c>
      <c r="C35" s="14" t="s">
        <v>69</v>
      </c>
      <c r="D35" s="15" t="s">
        <v>23</v>
      </c>
      <c r="E35" s="197" t="s">
        <v>80</v>
      </c>
      <c r="F35" s="197" t="s">
        <v>25</v>
      </c>
      <c r="G35" s="197" t="s">
        <v>26</v>
      </c>
      <c r="H35" s="197" t="s">
        <v>27</v>
      </c>
      <c r="I35" s="197" t="s">
        <v>28</v>
      </c>
      <c r="J35" s="198">
        <v>3</v>
      </c>
      <c r="K35" s="275" t="s">
        <v>1563</v>
      </c>
      <c r="L35" s="247" t="s">
        <v>81</v>
      </c>
      <c r="M35" s="276" t="s">
        <v>1633</v>
      </c>
      <c r="N35" s="197" t="s">
        <v>30</v>
      </c>
      <c r="O35" s="198" t="s">
        <v>31</v>
      </c>
      <c r="P35" s="199">
        <v>151825</v>
      </c>
      <c r="Q35" s="18" t="str">
        <f t="shared" si="0"/>
        <v xml:space="preserve">BM BB01 _ A _ Cinétique enzymatique standardisée IFCC _ Quantitatif _ Automatisée _ 3 _ Cobas Pro Roche
</v>
      </c>
      <c r="R35" s="4"/>
      <c r="S35" s="4"/>
      <c r="T35" s="4"/>
      <c r="U35" s="4"/>
    </row>
    <row r="36" spans="1:21" ht="63.75" x14ac:dyDescent="0.2">
      <c r="A36" s="14" t="s">
        <v>20</v>
      </c>
      <c r="B36" s="19" t="s">
        <v>21</v>
      </c>
      <c r="C36" s="14" t="s">
        <v>69</v>
      </c>
      <c r="D36" s="15" t="s">
        <v>23</v>
      </c>
      <c r="E36" s="197" t="s">
        <v>82</v>
      </c>
      <c r="F36" s="197" t="s">
        <v>25</v>
      </c>
      <c r="G36" s="197" t="s">
        <v>26</v>
      </c>
      <c r="H36" s="197" t="s">
        <v>27</v>
      </c>
      <c r="I36" s="197" t="s">
        <v>28</v>
      </c>
      <c r="J36" s="198">
        <v>3</v>
      </c>
      <c r="K36" s="275" t="s">
        <v>1563</v>
      </c>
      <c r="L36" s="247" t="s">
        <v>83</v>
      </c>
      <c r="M36" s="276" t="s">
        <v>1633</v>
      </c>
      <c r="N36" s="197" t="s">
        <v>30</v>
      </c>
      <c r="O36" s="198" t="s">
        <v>31</v>
      </c>
      <c r="P36" s="199">
        <v>151371</v>
      </c>
      <c r="Q36" s="18" t="str">
        <f t="shared" si="0"/>
        <v xml:space="preserve">BM BB01 _ A _ Cinétique enzymatique standardisée IFCC _ Quantitatif _ Automatisée _ 3 _ Cobas Pro Roche
</v>
      </c>
      <c r="R36" s="4"/>
      <c r="S36" s="4"/>
      <c r="T36" s="4"/>
      <c r="U36" s="4"/>
    </row>
    <row r="37" spans="1:21" ht="51" x14ac:dyDescent="0.2">
      <c r="A37" s="14" t="s">
        <v>20</v>
      </c>
      <c r="B37" s="19" t="s">
        <v>21</v>
      </c>
      <c r="C37" s="14" t="s">
        <v>69</v>
      </c>
      <c r="D37" s="15" t="s">
        <v>23</v>
      </c>
      <c r="E37" s="197" t="s">
        <v>84</v>
      </c>
      <c r="F37" s="197" t="s">
        <v>25</v>
      </c>
      <c r="G37" s="197" t="s">
        <v>1790</v>
      </c>
      <c r="H37" s="197" t="s">
        <v>27</v>
      </c>
      <c r="I37" s="197" t="s">
        <v>28</v>
      </c>
      <c r="J37" s="198">
        <v>3</v>
      </c>
      <c r="K37" s="275" t="s">
        <v>1795</v>
      </c>
      <c r="L37" s="247" t="s">
        <v>1794</v>
      </c>
      <c r="M37" s="276" t="s">
        <v>1793</v>
      </c>
      <c r="N37" s="197" t="s">
        <v>30</v>
      </c>
      <c r="O37" s="198" t="s">
        <v>31</v>
      </c>
      <c r="P37" s="199">
        <v>150750</v>
      </c>
      <c r="Q37" s="18" t="str">
        <f t="shared" si="0"/>
        <v xml:space="preserve">BM BB01 _ A _ Spectrophotométrie  _ Quantitatif _ Automatisée _ 3 _ Cobas Pro Roche 503
</v>
      </c>
      <c r="R37" s="4"/>
      <c r="S37" s="4"/>
      <c r="T37" s="4"/>
      <c r="U37" s="4"/>
    </row>
    <row r="38" spans="1:21" ht="63.75" x14ac:dyDescent="0.2">
      <c r="A38" s="14" t="s">
        <v>20</v>
      </c>
      <c r="B38" s="19" t="s">
        <v>21</v>
      </c>
      <c r="C38" s="14" t="s">
        <v>69</v>
      </c>
      <c r="D38" s="15" t="s">
        <v>23</v>
      </c>
      <c r="E38" s="197" t="s">
        <v>86</v>
      </c>
      <c r="F38" s="197" t="s">
        <v>25</v>
      </c>
      <c r="G38" s="197" t="s">
        <v>50</v>
      </c>
      <c r="H38" s="197" t="s">
        <v>27</v>
      </c>
      <c r="I38" s="197" t="s">
        <v>28</v>
      </c>
      <c r="J38" s="198">
        <v>3</v>
      </c>
      <c r="K38" s="275" t="s">
        <v>1563</v>
      </c>
      <c r="L38" s="247" t="s">
        <v>85</v>
      </c>
      <c r="M38" s="276" t="s">
        <v>1633</v>
      </c>
      <c r="N38" s="197" t="s">
        <v>30</v>
      </c>
      <c r="O38" s="198" t="s">
        <v>31</v>
      </c>
      <c r="P38" s="199">
        <v>16260</v>
      </c>
      <c r="Q38" s="18" t="str">
        <f t="shared" si="0"/>
        <v xml:space="preserve">BM BB01 _ A _ Colorimétrie _ Quantitatif _ Automatisée _ 3 _ Cobas Pro Roche
</v>
      </c>
      <c r="R38" s="4"/>
      <c r="S38" s="4"/>
      <c r="T38" s="4"/>
      <c r="U38" s="4"/>
    </row>
    <row r="39" spans="1:21" ht="63.75" x14ac:dyDescent="0.2">
      <c r="A39" s="14" t="s">
        <v>20</v>
      </c>
      <c r="B39" s="19" t="s">
        <v>21</v>
      </c>
      <c r="C39" s="14" t="s">
        <v>69</v>
      </c>
      <c r="D39" s="15" t="s">
        <v>23</v>
      </c>
      <c r="E39" s="197" t="s">
        <v>87</v>
      </c>
      <c r="F39" s="197" t="s">
        <v>25</v>
      </c>
      <c r="G39" s="197" t="s">
        <v>36</v>
      </c>
      <c r="H39" s="197" t="s">
        <v>27</v>
      </c>
      <c r="I39" s="197" t="s">
        <v>28</v>
      </c>
      <c r="J39" s="198">
        <v>3</v>
      </c>
      <c r="K39" s="275" t="s">
        <v>1563</v>
      </c>
      <c r="L39" s="247" t="s">
        <v>88</v>
      </c>
      <c r="M39" s="276" t="s">
        <v>1633</v>
      </c>
      <c r="N39" s="197" t="s">
        <v>30</v>
      </c>
      <c r="O39" s="198" t="s">
        <v>31</v>
      </c>
      <c r="P39" s="199">
        <v>11226</v>
      </c>
      <c r="Q39" s="18" t="str">
        <f t="shared" si="0"/>
        <v xml:space="preserve">BM BB01 _ A _ Electrochimiluminescence _ Quantitatif _ Automatisée _ 3 _ Cobas Pro Roche
</v>
      </c>
      <c r="R39" s="4"/>
      <c r="S39" s="4"/>
      <c r="T39" s="4"/>
      <c r="U39" s="4"/>
    </row>
    <row r="40" spans="1:21" ht="63.75" x14ac:dyDescent="0.2">
      <c r="A40" s="14" t="s">
        <v>20</v>
      </c>
      <c r="B40" s="19" t="s">
        <v>21</v>
      </c>
      <c r="C40" s="14" t="s">
        <v>69</v>
      </c>
      <c r="D40" s="15" t="s">
        <v>23</v>
      </c>
      <c r="E40" s="200" t="s">
        <v>89</v>
      </c>
      <c r="F40" s="197" t="s">
        <v>25</v>
      </c>
      <c r="G40" s="197" t="s">
        <v>90</v>
      </c>
      <c r="H40" s="197" t="s">
        <v>27</v>
      </c>
      <c r="I40" s="197" t="s">
        <v>28</v>
      </c>
      <c r="J40" s="198">
        <v>3</v>
      </c>
      <c r="K40" s="275" t="s">
        <v>1563</v>
      </c>
      <c r="L40" s="247" t="s">
        <v>91</v>
      </c>
      <c r="M40" s="276" t="s">
        <v>1633</v>
      </c>
      <c r="N40" s="197" t="s">
        <v>30</v>
      </c>
      <c r="O40" s="198" t="s">
        <v>31</v>
      </c>
      <c r="P40" s="199">
        <v>316816</v>
      </c>
      <c r="Q40" s="18" t="str">
        <f t="shared" si="0"/>
        <v xml:space="preserve">BM BB01 _ A _ Colorimétrie ou colorimétrie enzymatique _ Quantitatif _ Automatisée _ 3 _ Cobas Pro Roche
</v>
      </c>
      <c r="R40" s="4"/>
      <c r="S40" s="4"/>
      <c r="T40" s="4"/>
      <c r="U40" s="4"/>
    </row>
    <row r="41" spans="1:21" ht="51" x14ac:dyDescent="0.2">
      <c r="A41" s="14" t="s">
        <v>20</v>
      </c>
      <c r="B41" s="19" t="s">
        <v>21</v>
      </c>
      <c r="C41" s="14" t="s">
        <v>69</v>
      </c>
      <c r="D41" s="15" t="s">
        <v>23</v>
      </c>
      <c r="E41" s="197" t="s">
        <v>92</v>
      </c>
      <c r="F41" s="197" t="s">
        <v>25</v>
      </c>
      <c r="G41" s="197" t="s">
        <v>93</v>
      </c>
      <c r="H41" s="197" t="s">
        <v>27</v>
      </c>
      <c r="I41" s="197" t="s">
        <v>28</v>
      </c>
      <c r="J41" s="198" t="s">
        <v>94</v>
      </c>
      <c r="K41" s="198" t="s">
        <v>94</v>
      </c>
      <c r="L41" s="197" t="s">
        <v>91</v>
      </c>
      <c r="M41" s="264"/>
      <c r="N41" s="197" t="s">
        <v>30</v>
      </c>
      <c r="O41" s="198" t="s">
        <v>31</v>
      </c>
      <c r="P41" s="199" t="s">
        <v>95</v>
      </c>
      <c r="Q41" s="18" t="str">
        <f t="shared" si="0"/>
        <v>BM BB01 _ A _ Calcul _ Quantitatif _ Automatisée _ NA _ NA</v>
      </c>
      <c r="R41" s="4"/>
      <c r="S41" s="4"/>
      <c r="T41" s="4"/>
      <c r="U41" s="4"/>
    </row>
    <row r="42" spans="1:21" ht="96.75" customHeight="1" x14ac:dyDescent="0.2">
      <c r="A42" s="14" t="s">
        <v>20</v>
      </c>
      <c r="B42" s="19" t="s">
        <v>21</v>
      </c>
      <c r="C42" s="14" t="s">
        <v>69</v>
      </c>
      <c r="D42" s="15" t="s">
        <v>23</v>
      </c>
      <c r="E42" s="197" t="s">
        <v>96</v>
      </c>
      <c r="F42" s="197" t="s">
        <v>25</v>
      </c>
      <c r="G42" s="197" t="s">
        <v>93</v>
      </c>
      <c r="H42" s="197" t="s">
        <v>27</v>
      </c>
      <c r="I42" s="197" t="s">
        <v>28</v>
      </c>
      <c r="J42" s="198" t="s">
        <v>94</v>
      </c>
      <c r="K42" s="198" t="s">
        <v>94</v>
      </c>
      <c r="L42" s="197" t="s">
        <v>91</v>
      </c>
      <c r="M42" s="264"/>
      <c r="N42" s="197" t="s">
        <v>30</v>
      </c>
      <c r="O42" s="198" t="s">
        <v>31</v>
      </c>
      <c r="P42" s="199" t="s">
        <v>95</v>
      </c>
      <c r="Q42" s="18" t="str">
        <f t="shared" si="0"/>
        <v>BM BB01 _ A _ Calcul _ Quantitatif _ Automatisée _ NA _ NA</v>
      </c>
      <c r="R42" s="4"/>
      <c r="S42" s="4"/>
      <c r="T42" s="4"/>
      <c r="U42" s="4"/>
    </row>
    <row r="43" spans="1:21" ht="102.75" customHeight="1" x14ac:dyDescent="0.2">
      <c r="A43" s="14" t="s">
        <v>20</v>
      </c>
      <c r="B43" s="19" t="s">
        <v>21</v>
      </c>
      <c r="C43" s="14" t="s">
        <v>69</v>
      </c>
      <c r="D43" s="15" t="s">
        <v>23</v>
      </c>
      <c r="E43" s="197" t="s">
        <v>97</v>
      </c>
      <c r="F43" s="197" t="s">
        <v>25</v>
      </c>
      <c r="G43" s="197" t="s">
        <v>98</v>
      </c>
      <c r="H43" s="197" t="s">
        <v>27</v>
      </c>
      <c r="I43" s="197" t="s">
        <v>28</v>
      </c>
      <c r="J43" s="198">
        <v>3</v>
      </c>
      <c r="K43" s="275" t="s">
        <v>1563</v>
      </c>
      <c r="L43" s="247" t="s">
        <v>99</v>
      </c>
      <c r="M43" s="276" t="s">
        <v>1633</v>
      </c>
      <c r="N43" s="197" t="s">
        <v>30</v>
      </c>
      <c r="O43" s="198" t="s">
        <v>31</v>
      </c>
      <c r="P43" s="199">
        <v>318110</v>
      </c>
      <c r="Q43" s="18" t="str">
        <f t="shared" si="0"/>
        <v xml:space="preserve">BM BB01 _ A _ Méthode enzymatique (PEPCK) _ Quantitatif _ Automatisée _ 3 _ Cobas Pro Roche
</v>
      </c>
      <c r="R43" s="4"/>
      <c r="S43" s="4"/>
      <c r="T43" s="4"/>
      <c r="U43" s="4"/>
    </row>
    <row r="44" spans="1:21" ht="63.75" x14ac:dyDescent="0.2">
      <c r="A44" s="14" t="s">
        <v>20</v>
      </c>
      <c r="B44" s="19" t="s">
        <v>21</v>
      </c>
      <c r="C44" s="14" t="s">
        <v>69</v>
      </c>
      <c r="D44" s="15" t="s">
        <v>23</v>
      </c>
      <c r="E44" s="197" t="s">
        <v>100</v>
      </c>
      <c r="F44" s="197" t="s">
        <v>25</v>
      </c>
      <c r="G44" s="197" t="s">
        <v>47</v>
      </c>
      <c r="H44" s="197" t="s">
        <v>27</v>
      </c>
      <c r="I44" s="197" t="s">
        <v>28</v>
      </c>
      <c r="J44" s="198">
        <v>2</v>
      </c>
      <c r="K44" s="275" t="s">
        <v>1563</v>
      </c>
      <c r="L44" s="247" t="s">
        <v>101</v>
      </c>
      <c r="M44" s="276" t="s">
        <v>1633</v>
      </c>
      <c r="N44" s="197" t="s">
        <v>30</v>
      </c>
      <c r="O44" s="198" t="s">
        <v>31</v>
      </c>
      <c r="P44" s="199">
        <v>14510</v>
      </c>
      <c r="Q44" s="18" t="str">
        <f t="shared" si="0"/>
        <v xml:space="preserve">BM BB01 _ A _ Colorimétrie enzymatique _ Quantitatif _ Automatisée _ 2 _ Cobas Pro Roche
</v>
      </c>
      <c r="R44" s="4"/>
      <c r="S44" s="4"/>
      <c r="T44" s="4"/>
      <c r="U44" s="4"/>
    </row>
    <row r="45" spans="1:21" ht="63.75" x14ac:dyDescent="0.2">
      <c r="A45" s="14" t="s">
        <v>20</v>
      </c>
      <c r="B45" s="19" t="s">
        <v>21</v>
      </c>
      <c r="C45" s="14" t="s">
        <v>69</v>
      </c>
      <c r="D45" s="15" t="s">
        <v>23</v>
      </c>
      <c r="E45" s="197" t="s">
        <v>102</v>
      </c>
      <c r="F45" s="197" t="s">
        <v>25</v>
      </c>
      <c r="G45" s="197" t="s">
        <v>103</v>
      </c>
      <c r="H45" s="197" t="s">
        <v>27</v>
      </c>
      <c r="I45" s="197" t="s">
        <v>28</v>
      </c>
      <c r="J45" s="198">
        <v>3</v>
      </c>
      <c r="K45" s="275" t="s">
        <v>1563</v>
      </c>
      <c r="L45" s="247" t="s">
        <v>104</v>
      </c>
      <c r="M45" s="276" t="s">
        <v>1633</v>
      </c>
      <c r="N45" s="197" t="s">
        <v>30</v>
      </c>
      <c r="O45" s="198" t="s">
        <v>31</v>
      </c>
      <c r="P45" s="199">
        <v>103603</v>
      </c>
      <c r="Q45" s="18" t="str">
        <f t="shared" si="0"/>
        <v xml:space="preserve">BM BB01 _ A _ Spectrophotométrie UV (Molybdate d'ammonium) _ Quantitatif _ Automatisée _ 3 _ Cobas Pro Roche
</v>
      </c>
      <c r="R45" s="4"/>
      <c r="S45" s="4"/>
      <c r="T45" s="4"/>
      <c r="U45" s="4"/>
    </row>
    <row r="46" spans="1:21" ht="63.75" x14ac:dyDescent="0.2">
      <c r="A46" s="14" t="s">
        <v>20</v>
      </c>
      <c r="B46" s="19" t="s">
        <v>21</v>
      </c>
      <c r="C46" s="14" t="s">
        <v>69</v>
      </c>
      <c r="D46" s="15" t="s">
        <v>23</v>
      </c>
      <c r="E46" s="197" t="s">
        <v>105</v>
      </c>
      <c r="F46" s="197" t="s">
        <v>25</v>
      </c>
      <c r="G46" s="197" t="s">
        <v>106</v>
      </c>
      <c r="H46" s="197" t="s">
        <v>27</v>
      </c>
      <c r="I46" s="197" t="s">
        <v>28</v>
      </c>
      <c r="J46" s="198">
        <v>3</v>
      </c>
      <c r="K46" s="275" t="s">
        <v>1563</v>
      </c>
      <c r="L46" s="247" t="s">
        <v>107</v>
      </c>
      <c r="M46" s="276" t="s">
        <v>1633</v>
      </c>
      <c r="N46" s="197" t="s">
        <v>30</v>
      </c>
      <c r="O46" s="198" t="s">
        <v>31</v>
      </c>
      <c r="P46" s="199">
        <v>233169</v>
      </c>
      <c r="Q46" s="18" t="str">
        <f t="shared" si="0"/>
        <v xml:space="preserve">BM BB01 _ A _ Enzymatique _ Quantitatif _ Automatisée _ 3 _ Cobas Pro Roche
</v>
      </c>
      <c r="R46" s="4"/>
      <c r="S46" s="4"/>
      <c r="T46" s="4"/>
      <c r="U46" s="4"/>
    </row>
    <row r="47" spans="1:21" ht="51" x14ac:dyDescent="0.2">
      <c r="A47" s="14" t="s">
        <v>20</v>
      </c>
      <c r="B47" s="19" t="s">
        <v>21</v>
      </c>
      <c r="C47" s="14" t="s">
        <v>69</v>
      </c>
      <c r="D47" s="15" t="s">
        <v>23</v>
      </c>
      <c r="E47" s="197" t="s">
        <v>108</v>
      </c>
      <c r="F47" s="197" t="s">
        <v>25</v>
      </c>
      <c r="G47" s="197" t="s">
        <v>109</v>
      </c>
      <c r="H47" s="197" t="s">
        <v>27</v>
      </c>
      <c r="I47" s="197" t="s">
        <v>28</v>
      </c>
      <c r="J47" s="198">
        <v>4</v>
      </c>
      <c r="K47" s="197" t="s">
        <v>1531</v>
      </c>
      <c r="L47" s="197" t="s">
        <v>110</v>
      </c>
      <c r="M47" s="198"/>
      <c r="N47" s="197" t="s">
        <v>30</v>
      </c>
      <c r="O47" s="198" t="s">
        <v>31</v>
      </c>
      <c r="P47" s="199">
        <v>61910</v>
      </c>
      <c r="Q47" s="18" t="str">
        <f t="shared" si="0"/>
        <v>BM BB01 _ A _ Potentiométrie directe _ Quantitatif _ Automatisée _ 4 _ GEM 5000 (WERFEN)</v>
      </c>
      <c r="R47" s="4"/>
      <c r="S47" s="4"/>
      <c r="T47" s="4"/>
      <c r="U47" s="4"/>
    </row>
    <row r="48" spans="1:21" ht="51" x14ac:dyDescent="0.2">
      <c r="A48" s="14" t="s">
        <v>20</v>
      </c>
      <c r="B48" s="19" t="s">
        <v>21</v>
      </c>
      <c r="C48" s="14" t="s">
        <v>69</v>
      </c>
      <c r="D48" s="15" t="s">
        <v>23</v>
      </c>
      <c r="E48" s="197" t="s">
        <v>111</v>
      </c>
      <c r="F48" s="197" t="s">
        <v>25</v>
      </c>
      <c r="G48" s="197" t="s">
        <v>109</v>
      </c>
      <c r="H48" s="197" t="s">
        <v>27</v>
      </c>
      <c r="I48" s="197" t="s">
        <v>28</v>
      </c>
      <c r="J48" s="198">
        <v>4</v>
      </c>
      <c r="K48" s="197" t="s">
        <v>1531</v>
      </c>
      <c r="L48" s="197" t="s">
        <v>110</v>
      </c>
      <c r="M48" s="198"/>
      <c r="N48" s="197" t="s">
        <v>30</v>
      </c>
      <c r="O48" s="198" t="s">
        <v>31</v>
      </c>
      <c r="P48" s="199" t="s">
        <v>112</v>
      </c>
      <c r="Q48" s="18" t="str">
        <f t="shared" si="0"/>
        <v>BM BB01 _ A _ Potentiométrie directe _ Quantitatif _ Automatisée _ 4 _ GEM 5000 (WERFEN)</v>
      </c>
      <c r="R48" s="4"/>
      <c r="S48" s="4"/>
      <c r="T48" s="4"/>
      <c r="U48" s="4"/>
    </row>
    <row r="49" spans="1:21" ht="51" x14ac:dyDescent="0.2">
      <c r="A49" s="14" t="s">
        <v>20</v>
      </c>
      <c r="B49" s="19" t="s">
        <v>21</v>
      </c>
      <c r="C49" s="14" t="s">
        <v>69</v>
      </c>
      <c r="D49" s="15" t="s">
        <v>23</v>
      </c>
      <c r="E49" s="197" t="s">
        <v>113</v>
      </c>
      <c r="F49" s="197" t="s">
        <v>25</v>
      </c>
      <c r="G49" s="197" t="s">
        <v>109</v>
      </c>
      <c r="H49" s="197" t="s">
        <v>27</v>
      </c>
      <c r="I49" s="197" t="s">
        <v>28</v>
      </c>
      <c r="J49" s="198">
        <v>4</v>
      </c>
      <c r="K49" s="197" t="s">
        <v>1532</v>
      </c>
      <c r="L49" s="197" t="s">
        <v>110</v>
      </c>
      <c r="M49" s="198"/>
      <c r="N49" s="197" t="s">
        <v>30</v>
      </c>
      <c r="O49" s="198" t="s">
        <v>31</v>
      </c>
      <c r="P49" s="199" t="s">
        <v>112</v>
      </c>
      <c r="Q49" s="18" t="str">
        <f t="shared" si="0"/>
        <v>BM BB01 _ A _ Potentiométrie directe _ Quantitatif _ Automatisée _ 4 _ 
GEM 5000 (WERFEN)</v>
      </c>
      <c r="R49" s="4"/>
      <c r="S49" s="4"/>
      <c r="T49" s="4"/>
      <c r="U49" s="4"/>
    </row>
    <row r="50" spans="1:21" ht="51" x14ac:dyDescent="0.2">
      <c r="A50" s="14" t="s">
        <v>20</v>
      </c>
      <c r="B50" s="19" t="s">
        <v>21</v>
      </c>
      <c r="C50" s="23" t="s">
        <v>22</v>
      </c>
      <c r="D50" s="23" t="s">
        <v>23</v>
      </c>
      <c r="E50" s="204" t="s">
        <v>114</v>
      </c>
      <c r="F50" s="204" t="s">
        <v>25</v>
      </c>
      <c r="G50" s="204" t="s">
        <v>115</v>
      </c>
      <c r="H50" s="197" t="s">
        <v>27</v>
      </c>
      <c r="I50" s="201" t="s">
        <v>28</v>
      </c>
      <c r="J50" s="198">
        <v>4</v>
      </c>
      <c r="K50" s="197" t="s">
        <v>1531</v>
      </c>
      <c r="L50" s="197" t="s">
        <v>110</v>
      </c>
      <c r="M50" s="198"/>
      <c r="N50" s="204" t="s">
        <v>30</v>
      </c>
      <c r="O50" s="198" t="s">
        <v>31</v>
      </c>
      <c r="P50" s="199" t="s">
        <v>116</v>
      </c>
      <c r="Q50" s="18" t="str">
        <f t="shared" si="0"/>
        <v>BM BB01 _ A _ Absorbance optique _ Quantitatif _ Automatisée _ 4 _ GEM 5000 (WERFEN)</v>
      </c>
      <c r="R50" s="4"/>
      <c r="S50" s="4"/>
      <c r="T50" s="4"/>
      <c r="U50" s="4"/>
    </row>
    <row r="51" spans="1:21" ht="51" x14ac:dyDescent="0.2">
      <c r="A51" s="14" t="s">
        <v>20</v>
      </c>
      <c r="B51" s="19" t="s">
        <v>21</v>
      </c>
      <c r="C51" s="23" t="s">
        <v>22</v>
      </c>
      <c r="D51" s="23" t="s">
        <v>23</v>
      </c>
      <c r="E51" s="204" t="s">
        <v>117</v>
      </c>
      <c r="F51" s="204" t="s">
        <v>25</v>
      </c>
      <c r="G51" s="204" t="s">
        <v>115</v>
      </c>
      <c r="H51" s="197" t="s">
        <v>27</v>
      </c>
      <c r="I51" s="201" t="s">
        <v>28</v>
      </c>
      <c r="J51" s="198">
        <v>4</v>
      </c>
      <c r="K51" s="197" t="s">
        <v>1531</v>
      </c>
      <c r="L51" s="197" t="s">
        <v>110</v>
      </c>
      <c r="M51" s="198"/>
      <c r="N51" s="204" t="s">
        <v>30</v>
      </c>
      <c r="O51" s="198" t="s">
        <v>31</v>
      </c>
      <c r="P51" s="199">
        <v>118</v>
      </c>
      <c r="Q51" s="18" t="str">
        <f t="shared" si="0"/>
        <v>BM BB01 _ A _ Absorbance optique _ Quantitatif _ Automatisée _ 4 _ GEM 5000 (WERFEN)</v>
      </c>
      <c r="R51" s="4"/>
      <c r="S51" s="4"/>
      <c r="T51" s="4"/>
      <c r="U51" s="4"/>
    </row>
    <row r="52" spans="1:21" ht="51" x14ac:dyDescent="0.2">
      <c r="A52" s="14" t="s">
        <v>20</v>
      </c>
      <c r="B52" s="19" t="s">
        <v>21</v>
      </c>
      <c r="C52" s="23" t="s">
        <v>22</v>
      </c>
      <c r="D52" s="23" t="s">
        <v>23</v>
      </c>
      <c r="E52" s="204" t="s">
        <v>118</v>
      </c>
      <c r="F52" s="204" t="s">
        <v>25</v>
      </c>
      <c r="G52" s="204" t="s">
        <v>115</v>
      </c>
      <c r="H52" s="197" t="s">
        <v>27</v>
      </c>
      <c r="I52" s="201" t="s">
        <v>28</v>
      </c>
      <c r="J52" s="198">
        <v>4</v>
      </c>
      <c r="K52" s="197" t="s">
        <v>1531</v>
      </c>
      <c r="L52" s="197" t="s">
        <v>110</v>
      </c>
      <c r="M52" s="198"/>
      <c r="N52" s="204" t="s">
        <v>30</v>
      </c>
      <c r="O52" s="198" t="s">
        <v>31</v>
      </c>
      <c r="P52" s="199" t="s">
        <v>116</v>
      </c>
      <c r="Q52" s="18" t="str">
        <f t="shared" si="0"/>
        <v>BM BB01 _ A _ Absorbance optique _ Quantitatif _ Automatisée _ 4 _ GEM 5000 (WERFEN)</v>
      </c>
      <c r="R52" s="4"/>
      <c r="S52" s="4"/>
      <c r="T52" s="4"/>
      <c r="U52" s="4"/>
    </row>
    <row r="53" spans="1:21" ht="51" x14ac:dyDescent="0.2">
      <c r="A53" s="14" t="s">
        <v>20</v>
      </c>
      <c r="B53" s="14" t="s">
        <v>21</v>
      </c>
      <c r="C53" s="23" t="s">
        <v>22</v>
      </c>
      <c r="D53" s="23" t="s">
        <v>23</v>
      </c>
      <c r="E53" s="204" t="s">
        <v>119</v>
      </c>
      <c r="F53" s="204" t="s">
        <v>25</v>
      </c>
      <c r="G53" s="204" t="s">
        <v>115</v>
      </c>
      <c r="H53" s="197" t="s">
        <v>27</v>
      </c>
      <c r="I53" s="197" t="s">
        <v>28</v>
      </c>
      <c r="J53" s="198">
        <v>4</v>
      </c>
      <c r="K53" s="197" t="s">
        <v>1531</v>
      </c>
      <c r="L53" s="197" t="s">
        <v>110</v>
      </c>
      <c r="M53" s="198"/>
      <c r="N53" s="204" t="s">
        <v>30</v>
      </c>
      <c r="O53" s="198" t="s">
        <v>31</v>
      </c>
      <c r="P53" s="199">
        <v>270</v>
      </c>
      <c r="Q53" s="18" t="str">
        <f t="shared" si="0"/>
        <v>BM BB01 _ A _ Absorbance optique _ Quantitatif _ Automatisée _ 4 _ GEM 5000 (WERFEN)</v>
      </c>
      <c r="R53" s="4"/>
      <c r="S53" s="4"/>
      <c r="T53" s="4"/>
      <c r="U53" s="4"/>
    </row>
    <row r="54" spans="1:21" ht="63.75" x14ac:dyDescent="0.2">
      <c r="A54" s="14" t="s">
        <v>20</v>
      </c>
      <c r="B54" s="14" t="s">
        <v>120</v>
      </c>
      <c r="C54" s="14" t="s">
        <v>22</v>
      </c>
      <c r="D54" s="25" t="s">
        <v>121</v>
      </c>
      <c r="E54" s="20" t="s">
        <v>122</v>
      </c>
      <c r="F54" s="14" t="s">
        <v>123</v>
      </c>
      <c r="G54" s="14" t="s">
        <v>124</v>
      </c>
      <c r="H54" s="14" t="s">
        <v>27</v>
      </c>
      <c r="I54" s="14" t="s">
        <v>28</v>
      </c>
      <c r="J54" s="203">
        <v>2</v>
      </c>
      <c r="K54" s="203" t="s">
        <v>1558</v>
      </c>
      <c r="L54" s="203" t="s">
        <v>1559</v>
      </c>
      <c r="M54" s="203" t="s">
        <v>1560</v>
      </c>
      <c r="N54" s="26" t="s">
        <v>125</v>
      </c>
      <c r="O54" s="16" t="s">
        <v>31</v>
      </c>
      <c r="P54" s="27">
        <v>116063</v>
      </c>
      <c r="Q54" s="18" t="str">
        <f t="shared" si="0"/>
        <v xml:space="preserve">BM CB02 _ A _ Chronométrique _ Quantitatif _ Automatisée _ 2 _ STAR Max3 Diagnostica STAGO (chu)    </v>
      </c>
      <c r="R54" s="4"/>
      <c r="S54" s="4"/>
      <c r="T54" s="4"/>
      <c r="U54" s="4"/>
    </row>
    <row r="55" spans="1:21" ht="63.75" x14ac:dyDescent="0.2">
      <c r="A55" s="14" t="s">
        <v>20</v>
      </c>
      <c r="B55" s="19" t="s">
        <v>120</v>
      </c>
      <c r="C55" s="19" t="s">
        <v>22</v>
      </c>
      <c r="D55" s="25" t="s">
        <v>121</v>
      </c>
      <c r="E55" s="14" t="s">
        <v>126</v>
      </c>
      <c r="F55" s="19" t="s">
        <v>123</v>
      </c>
      <c r="G55" s="14" t="s">
        <v>127</v>
      </c>
      <c r="H55" s="14" t="s">
        <v>27</v>
      </c>
      <c r="I55" s="19" t="s">
        <v>28</v>
      </c>
      <c r="J55" s="203">
        <v>2</v>
      </c>
      <c r="K55" s="203" t="s">
        <v>1558</v>
      </c>
      <c r="L55" s="203" t="s">
        <v>1561</v>
      </c>
      <c r="M55" s="203" t="s">
        <v>1560</v>
      </c>
      <c r="N55" s="26" t="s">
        <v>125</v>
      </c>
      <c r="O55" s="16" t="s">
        <v>31</v>
      </c>
      <c r="P55" s="27">
        <v>108233</v>
      </c>
      <c r="Q55" s="18" t="str">
        <f t="shared" si="0"/>
        <v xml:space="preserve">BM CB02 _ A _ Chronométrie _ Quantitatif _ Automatisée _ 2 _ STAR Max3 Diagnostica STAGO (chu)    </v>
      </c>
      <c r="R55" s="4"/>
      <c r="S55" s="4"/>
      <c r="T55" s="4"/>
      <c r="U55" s="4"/>
    </row>
    <row r="56" spans="1:21" ht="63.75" x14ac:dyDescent="0.2">
      <c r="A56" s="14" t="s">
        <v>20</v>
      </c>
      <c r="B56" s="19" t="s">
        <v>120</v>
      </c>
      <c r="C56" s="19" t="s">
        <v>22</v>
      </c>
      <c r="D56" s="25" t="s">
        <v>121</v>
      </c>
      <c r="E56" s="14" t="s">
        <v>128</v>
      </c>
      <c r="F56" s="19" t="s">
        <v>123</v>
      </c>
      <c r="G56" s="14" t="s">
        <v>127</v>
      </c>
      <c r="H56" s="14" t="s">
        <v>27</v>
      </c>
      <c r="I56" s="19" t="s">
        <v>28</v>
      </c>
      <c r="J56" s="203">
        <v>2</v>
      </c>
      <c r="K56" s="203" t="s">
        <v>1558</v>
      </c>
      <c r="L56" s="203" t="s">
        <v>1562</v>
      </c>
      <c r="M56" s="203" t="s">
        <v>1560</v>
      </c>
      <c r="N56" s="26" t="s">
        <v>125</v>
      </c>
      <c r="O56" s="16" t="s">
        <v>31</v>
      </c>
      <c r="P56" s="27">
        <v>25228</v>
      </c>
      <c r="Q56" s="18" t="str">
        <f t="shared" si="0"/>
        <v xml:space="preserve">BM CB02 _ A _ Chronométrie _ Quantitatif _ Automatisée _ 2 _ STAR Max3 Diagnostica STAGO (chu)    </v>
      </c>
      <c r="R56" s="4"/>
      <c r="S56" s="4"/>
      <c r="T56" s="4"/>
      <c r="U56" s="4"/>
    </row>
    <row r="57" spans="1:21" ht="66" x14ac:dyDescent="0.2">
      <c r="A57" s="17" t="s">
        <v>20</v>
      </c>
      <c r="B57" s="17" t="s">
        <v>120</v>
      </c>
      <c r="C57" s="17" t="s">
        <v>22</v>
      </c>
      <c r="D57" s="17" t="s">
        <v>121</v>
      </c>
      <c r="E57" s="17" t="s">
        <v>1648</v>
      </c>
      <c r="F57" s="17" t="s">
        <v>123</v>
      </c>
      <c r="G57" s="17" t="s">
        <v>73</v>
      </c>
      <c r="H57" s="17" t="s">
        <v>27</v>
      </c>
      <c r="I57" s="17" t="s">
        <v>28</v>
      </c>
      <c r="J57" s="271">
        <v>3</v>
      </c>
      <c r="K57" s="203" t="s">
        <v>1649</v>
      </c>
      <c r="L57" s="203" t="s">
        <v>1650</v>
      </c>
      <c r="M57" s="203" t="s">
        <v>1651</v>
      </c>
      <c r="N57" s="273" t="s">
        <v>125</v>
      </c>
      <c r="O57" s="271" t="s">
        <v>31</v>
      </c>
      <c r="P57" s="285">
        <v>0</v>
      </c>
      <c r="Q57" s="18" t="str">
        <f t="shared" si="0"/>
        <v xml:space="preserve">BM CB02 _ A _ Immunoturbidimétrie _ Quantitatif _ Automatisée _ 3 _  2 STAR Max3 Diagnostica STAGO (chu)
1 STARMAX2
Diagnostica STAGO    </v>
      </c>
      <c r="R57" s="4"/>
      <c r="S57" s="4"/>
      <c r="T57" s="4"/>
      <c r="U57" s="4"/>
    </row>
    <row r="58" spans="1:21" ht="102" x14ac:dyDescent="0.2">
      <c r="A58" s="14" t="s">
        <v>20</v>
      </c>
      <c r="B58" s="14" t="s">
        <v>120</v>
      </c>
      <c r="C58" s="14" t="s">
        <v>22</v>
      </c>
      <c r="D58" s="25" t="s">
        <v>121</v>
      </c>
      <c r="E58" s="14" t="s">
        <v>1652</v>
      </c>
      <c r="F58" s="14" t="s">
        <v>123</v>
      </c>
      <c r="G58" s="14" t="s">
        <v>130</v>
      </c>
      <c r="H58" s="14" t="s">
        <v>27</v>
      </c>
      <c r="I58" s="14" t="s">
        <v>28</v>
      </c>
      <c r="J58" s="271">
        <v>1</v>
      </c>
      <c r="K58" s="14" t="s">
        <v>1653</v>
      </c>
      <c r="L58" s="16" t="s">
        <v>1654</v>
      </c>
      <c r="M58" s="271" t="s">
        <v>1655</v>
      </c>
      <c r="N58" s="26" t="s">
        <v>125</v>
      </c>
      <c r="O58" s="16" t="s">
        <v>31</v>
      </c>
      <c r="P58" s="285">
        <v>4944</v>
      </c>
      <c r="Q58" s="18" t="str">
        <f t="shared" si="0"/>
        <v xml:space="preserve">BM CB02 _ A _ Immunoenzymatique (ELFA) _ Quantitatif _ Automatisée _ 1 _ BIOMERIEUX
Vidas 3 N° VN04565 (HCN)
</v>
      </c>
      <c r="R58" s="4"/>
      <c r="S58" s="4"/>
      <c r="T58" s="4"/>
      <c r="U58" s="4"/>
    </row>
    <row r="59" spans="1:21" ht="102" x14ac:dyDescent="0.2">
      <c r="A59" s="14" t="s">
        <v>20</v>
      </c>
      <c r="B59" s="14" t="s">
        <v>120</v>
      </c>
      <c r="C59" s="14" t="s">
        <v>22</v>
      </c>
      <c r="D59" s="23" t="s">
        <v>131</v>
      </c>
      <c r="E59" s="14" t="s">
        <v>132</v>
      </c>
      <c r="F59" s="14" t="s">
        <v>25</v>
      </c>
      <c r="G59" s="14" t="s">
        <v>133</v>
      </c>
      <c r="H59" s="14" t="s">
        <v>27</v>
      </c>
      <c r="I59" s="14" t="s">
        <v>28</v>
      </c>
      <c r="J59" s="16">
        <v>3</v>
      </c>
      <c r="K59" s="14" t="s">
        <v>134</v>
      </c>
      <c r="L59" s="14" t="s">
        <v>1502</v>
      </c>
      <c r="M59" s="231" t="s">
        <v>1521</v>
      </c>
      <c r="N59" s="26" t="s">
        <v>135</v>
      </c>
      <c r="O59" s="16" t="s">
        <v>31</v>
      </c>
      <c r="P59" s="27">
        <v>306864</v>
      </c>
      <c r="Q59" s="18" t="str">
        <f t="shared" si="0"/>
        <v>BM HB01 _ A _ Impédance en cytométrie à volume fixe calibré (référence : cellule de Malassez) _ Quantitatif _ Automatisée _ 3 _ SYSMEX XN10</v>
      </c>
      <c r="R59" s="4"/>
      <c r="S59" s="4"/>
      <c r="T59" s="4"/>
      <c r="U59" s="4"/>
    </row>
    <row r="60" spans="1:21" ht="153" x14ac:dyDescent="0.2">
      <c r="A60" s="14" t="s">
        <v>20</v>
      </c>
      <c r="B60" s="14" t="s">
        <v>120</v>
      </c>
      <c r="C60" s="14" t="s">
        <v>22</v>
      </c>
      <c r="D60" s="23" t="s">
        <v>131</v>
      </c>
      <c r="E60" s="14" t="s">
        <v>136</v>
      </c>
      <c r="F60" s="14" t="s">
        <v>25</v>
      </c>
      <c r="G60" s="14" t="s">
        <v>137</v>
      </c>
      <c r="H60" s="14" t="s">
        <v>27</v>
      </c>
      <c r="I60" s="14" t="s">
        <v>28</v>
      </c>
      <c r="J60" s="16">
        <v>3</v>
      </c>
      <c r="K60" s="14" t="s">
        <v>134</v>
      </c>
      <c r="L60" s="14" t="s">
        <v>1502</v>
      </c>
      <c r="M60" s="231" t="s">
        <v>1521</v>
      </c>
      <c r="N60" s="26" t="s">
        <v>135</v>
      </c>
      <c r="O60" s="16" t="s">
        <v>31</v>
      </c>
      <c r="P60" s="28" t="s">
        <v>138</v>
      </c>
      <c r="Q60" s="18" t="str">
        <f t="shared" si="0"/>
        <v>BM HB01 _ A _ Le volume globulaire moyen est calculé à partir du taux d'hématocrite et de la numération des globules rouges sur sang total. _ Quantitatif _ Automatisée _ 3 _ SYSMEX XN10</v>
      </c>
      <c r="R60" s="4"/>
      <c r="S60" s="4"/>
      <c r="T60" s="4"/>
      <c r="U60" s="4"/>
    </row>
    <row r="61" spans="1:21" ht="102" x14ac:dyDescent="0.2">
      <c r="A61" s="14" t="s">
        <v>20</v>
      </c>
      <c r="B61" s="14" t="s">
        <v>120</v>
      </c>
      <c r="C61" s="14" t="s">
        <v>22</v>
      </c>
      <c r="D61" s="23" t="s">
        <v>131</v>
      </c>
      <c r="E61" s="14" t="s">
        <v>139</v>
      </c>
      <c r="F61" s="14" t="s">
        <v>25</v>
      </c>
      <c r="G61" s="14" t="s">
        <v>140</v>
      </c>
      <c r="H61" s="14" t="s">
        <v>27</v>
      </c>
      <c r="I61" s="14" t="s">
        <v>28</v>
      </c>
      <c r="J61" s="16">
        <v>3</v>
      </c>
      <c r="K61" s="14" t="s">
        <v>134</v>
      </c>
      <c r="L61" s="14" t="s">
        <v>1502</v>
      </c>
      <c r="M61" s="231" t="s">
        <v>1521</v>
      </c>
      <c r="N61" s="26" t="s">
        <v>135</v>
      </c>
      <c r="O61" s="16" t="s">
        <v>31</v>
      </c>
      <c r="P61" s="28" t="s">
        <v>138</v>
      </c>
      <c r="Q61" s="18" t="str">
        <f t="shared" si="0"/>
        <v>BM HB01 _ A _ Diffraction optique en cytométrie de flux avec laser semi-conducteur et fluorescence. _ Quantitatif _ Automatisée _ 3 _ SYSMEX XN10</v>
      </c>
      <c r="R61" s="4"/>
      <c r="S61" s="4"/>
      <c r="T61" s="4"/>
      <c r="U61" s="4"/>
    </row>
    <row r="62" spans="1:21" ht="216.75" x14ac:dyDescent="0.2">
      <c r="A62" s="14" t="s">
        <v>20</v>
      </c>
      <c r="B62" s="14" t="s">
        <v>120</v>
      </c>
      <c r="C62" s="14" t="s">
        <v>22</v>
      </c>
      <c r="D62" s="23" t="s">
        <v>131</v>
      </c>
      <c r="E62" s="20" t="s">
        <v>142</v>
      </c>
      <c r="F62" s="14" t="s">
        <v>25</v>
      </c>
      <c r="G62" s="14" t="s">
        <v>143</v>
      </c>
      <c r="H62" s="14" t="s">
        <v>27</v>
      </c>
      <c r="I62" s="14" t="s">
        <v>28</v>
      </c>
      <c r="J62" s="16">
        <v>3</v>
      </c>
      <c r="K62" s="14" t="s">
        <v>144</v>
      </c>
      <c r="L62" s="14" t="s">
        <v>1502</v>
      </c>
      <c r="M62" s="231" t="s">
        <v>1521</v>
      </c>
      <c r="N62" s="26" t="s">
        <v>135</v>
      </c>
      <c r="O62" s="16" t="s">
        <v>31</v>
      </c>
      <c r="P62" s="28" t="s">
        <v>138</v>
      </c>
      <c r="Q62" s="18" t="str">
        <f t="shared" si="0"/>
        <v xml:space="preserve">BM HB01 _ A _ Impédance en cytométrie à volume fixe calibré (référence : cellule de Malassez)
ou
Diffraction optique en cytométrie de flux avec laser semi-conducteur et fluorescence _ Quantitatif _ Automatisée _ 3 _ SYSMEX XN10
</v>
      </c>
      <c r="R62" s="4"/>
      <c r="S62" s="4"/>
      <c r="T62" s="4"/>
      <c r="U62" s="4"/>
    </row>
    <row r="63" spans="1:21" ht="102" x14ac:dyDescent="0.2">
      <c r="A63" s="14" t="s">
        <v>20</v>
      </c>
      <c r="B63" s="14" t="s">
        <v>120</v>
      </c>
      <c r="C63" s="14" t="s">
        <v>22</v>
      </c>
      <c r="D63" s="23" t="s">
        <v>131</v>
      </c>
      <c r="E63" s="14" t="s">
        <v>145</v>
      </c>
      <c r="F63" s="14" t="s">
        <v>25</v>
      </c>
      <c r="G63" s="14" t="s">
        <v>140</v>
      </c>
      <c r="H63" s="14" t="s">
        <v>27</v>
      </c>
      <c r="I63" s="14" t="s">
        <v>28</v>
      </c>
      <c r="J63" s="16">
        <v>3</v>
      </c>
      <c r="K63" s="14" t="s">
        <v>144</v>
      </c>
      <c r="L63" s="14" t="s">
        <v>1502</v>
      </c>
      <c r="M63" s="231" t="s">
        <v>1521</v>
      </c>
      <c r="N63" s="26" t="s">
        <v>135</v>
      </c>
      <c r="O63" s="16" t="s">
        <v>31</v>
      </c>
      <c r="P63" s="28" t="s">
        <v>138</v>
      </c>
      <c r="Q63" s="18" t="str">
        <f t="shared" si="0"/>
        <v xml:space="preserve">BM HB01 _ A _ Diffraction optique en cytométrie de flux avec laser semi-conducteur et fluorescence. _ Quantitatif _ Automatisée _ 3 _ SYSMEX XN10
</v>
      </c>
      <c r="R63" s="4"/>
      <c r="S63" s="4"/>
      <c r="T63" s="4"/>
      <c r="U63" s="4"/>
    </row>
    <row r="64" spans="1:21" ht="89.25" x14ac:dyDescent="0.2">
      <c r="A64" s="14" t="s">
        <v>20</v>
      </c>
      <c r="B64" s="14" t="s">
        <v>120</v>
      </c>
      <c r="C64" s="14" t="s">
        <v>22</v>
      </c>
      <c r="D64" s="23" t="s">
        <v>131</v>
      </c>
      <c r="E64" s="14" t="s">
        <v>146</v>
      </c>
      <c r="F64" s="14" t="s">
        <v>25</v>
      </c>
      <c r="G64" s="14" t="s">
        <v>147</v>
      </c>
      <c r="H64" s="14" t="s">
        <v>27</v>
      </c>
      <c r="I64" s="14" t="s">
        <v>28</v>
      </c>
      <c r="J64" s="16">
        <v>3</v>
      </c>
      <c r="K64" s="14" t="s">
        <v>144</v>
      </c>
      <c r="L64" s="14" t="s">
        <v>1502</v>
      </c>
      <c r="M64" s="231" t="s">
        <v>1521</v>
      </c>
      <c r="N64" s="26" t="s">
        <v>135</v>
      </c>
      <c r="O64" s="16" t="s">
        <v>31</v>
      </c>
      <c r="P64" s="28" t="s">
        <v>138</v>
      </c>
      <c r="Q64" s="18" t="str">
        <f t="shared" si="0"/>
        <v xml:space="preserve">BM HB01 _ A _ Variation de résistivité (Impédance) en cytométrie à volume fixe calibré _ Quantitatif _ Automatisée _ 3 _ SYSMEX XN10
</v>
      </c>
      <c r="R64" s="4"/>
      <c r="S64" s="4"/>
      <c r="T64" s="4"/>
      <c r="U64" s="4"/>
    </row>
    <row r="65" spans="1:21" ht="102" x14ac:dyDescent="0.2">
      <c r="A65" s="14" t="s">
        <v>20</v>
      </c>
      <c r="B65" s="14" t="s">
        <v>120</v>
      </c>
      <c r="C65" s="14" t="s">
        <v>22</v>
      </c>
      <c r="D65" s="23" t="s">
        <v>131</v>
      </c>
      <c r="E65" s="14" t="s">
        <v>148</v>
      </c>
      <c r="F65" s="14" t="s">
        <v>25</v>
      </c>
      <c r="G65" s="14" t="s">
        <v>140</v>
      </c>
      <c r="H65" s="14" t="s">
        <v>27</v>
      </c>
      <c r="I65" s="14" t="s">
        <v>28</v>
      </c>
      <c r="J65" s="16">
        <v>3</v>
      </c>
      <c r="K65" s="14" t="s">
        <v>144</v>
      </c>
      <c r="L65" s="14" t="s">
        <v>1502</v>
      </c>
      <c r="M65" s="231" t="s">
        <v>1521</v>
      </c>
      <c r="N65" s="26" t="s">
        <v>135</v>
      </c>
      <c r="O65" s="16" t="s">
        <v>31</v>
      </c>
      <c r="P65" s="28" t="s">
        <v>138</v>
      </c>
      <c r="Q65" s="18" t="str">
        <f t="shared" si="0"/>
        <v xml:space="preserve">BM HB01 _ A _ Diffraction optique en cytométrie de flux avec laser semi-conducteur et fluorescence. _ Quantitatif _ Automatisée _ 3 _ SYSMEX XN10
</v>
      </c>
      <c r="R65" s="4"/>
      <c r="S65" s="4"/>
      <c r="T65" s="4"/>
      <c r="U65" s="4"/>
    </row>
    <row r="66" spans="1:21" ht="76.5" x14ac:dyDescent="0.2">
      <c r="A66" s="14" t="s">
        <v>20</v>
      </c>
      <c r="B66" s="14" t="s">
        <v>120</v>
      </c>
      <c r="C66" s="14" t="s">
        <v>22</v>
      </c>
      <c r="D66" s="23" t="s">
        <v>131</v>
      </c>
      <c r="E66" s="20" t="s">
        <v>149</v>
      </c>
      <c r="F66" s="14" t="s">
        <v>25</v>
      </c>
      <c r="G66" s="14" t="s">
        <v>150</v>
      </c>
      <c r="H66" s="14" t="s">
        <v>27</v>
      </c>
      <c r="I66" s="14" t="s">
        <v>28</v>
      </c>
      <c r="J66" s="16">
        <v>3</v>
      </c>
      <c r="K66" s="14" t="s">
        <v>144</v>
      </c>
      <c r="L66" s="14" t="s">
        <v>1502</v>
      </c>
      <c r="M66" s="231" t="s">
        <v>1521</v>
      </c>
      <c r="N66" s="26" t="s">
        <v>135</v>
      </c>
      <c r="O66" s="16" t="s">
        <v>31</v>
      </c>
      <c r="P66" s="28" t="s">
        <v>138</v>
      </c>
      <c r="Q66" s="18" t="str">
        <f t="shared" si="0"/>
        <v xml:space="preserve">BM HB01 _ A _ Photométrie par une dilution dans une cuve spécifique _ Quantitatif _ Automatisée _ 3 _ SYSMEX XN10
</v>
      </c>
      <c r="R66" s="4"/>
      <c r="S66" s="4"/>
      <c r="T66" s="4"/>
      <c r="U66" s="4"/>
    </row>
    <row r="67" spans="1:21" ht="63.75" x14ac:dyDescent="0.2">
      <c r="A67" s="14" t="s">
        <v>20</v>
      </c>
      <c r="B67" s="14" t="s">
        <v>120</v>
      </c>
      <c r="C67" s="14" t="s">
        <v>22</v>
      </c>
      <c r="D67" s="23" t="s">
        <v>131</v>
      </c>
      <c r="E67" s="14" t="s">
        <v>151</v>
      </c>
      <c r="F67" s="14" t="s">
        <v>25</v>
      </c>
      <c r="G67" s="14" t="s">
        <v>152</v>
      </c>
      <c r="H67" s="14" t="s">
        <v>27</v>
      </c>
      <c r="I67" s="14" t="s">
        <v>28</v>
      </c>
      <c r="J67" s="16">
        <v>3</v>
      </c>
      <c r="K67" s="14" t="s">
        <v>144</v>
      </c>
      <c r="L67" s="14" t="s">
        <v>1502</v>
      </c>
      <c r="M67" s="231" t="s">
        <v>1521</v>
      </c>
      <c r="N67" s="26" t="s">
        <v>135</v>
      </c>
      <c r="O67" s="16" t="s">
        <v>31</v>
      </c>
      <c r="P67" s="28" t="s">
        <v>138</v>
      </c>
      <c r="Q67" s="18" t="str">
        <f t="shared" si="0"/>
        <v xml:space="preserve">BM HB01 _ A _ Impédance en cytométrie à volume fixe calibré. _ Quantitatif _ Automatisée _ 3 _ SYSMEX XN10
</v>
      </c>
      <c r="R67" s="4"/>
      <c r="S67" s="4"/>
      <c r="T67" s="4"/>
      <c r="U67" s="4"/>
    </row>
    <row r="68" spans="1:21" ht="63.75" x14ac:dyDescent="0.2">
      <c r="A68" s="14" t="s">
        <v>20</v>
      </c>
      <c r="B68" s="14" t="s">
        <v>120</v>
      </c>
      <c r="C68" s="14" t="s">
        <v>22</v>
      </c>
      <c r="D68" s="23" t="s">
        <v>131</v>
      </c>
      <c r="E68" s="14" t="s">
        <v>153</v>
      </c>
      <c r="F68" s="14" t="s">
        <v>25</v>
      </c>
      <c r="G68" s="14" t="s">
        <v>152</v>
      </c>
      <c r="H68" s="14" t="s">
        <v>27</v>
      </c>
      <c r="I68" s="14" t="s">
        <v>28</v>
      </c>
      <c r="J68" s="16">
        <v>3</v>
      </c>
      <c r="K68" s="14" t="s">
        <v>144</v>
      </c>
      <c r="L68" s="14" t="s">
        <v>1502</v>
      </c>
      <c r="M68" s="231" t="s">
        <v>1521</v>
      </c>
      <c r="N68" s="26" t="s">
        <v>135</v>
      </c>
      <c r="O68" s="16" t="s">
        <v>31</v>
      </c>
      <c r="P68" s="28" t="s">
        <v>138</v>
      </c>
      <c r="Q68" s="18" t="str">
        <f t="shared" si="0"/>
        <v xml:space="preserve">BM HB01 _ A _ Impédance en cytométrie à volume fixe calibré. _ Quantitatif _ Automatisée _ 3 _ SYSMEX XN10
</v>
      </c>
      <c r="R68" s="4"/>
      <c r="S68" s="4"/>
      <c r="T68" s="4"/>
      <c r="U68" s="4"/>
    </row>
    <row r="69" spans="1:21" ht="102" x14ac:dyDescent="0.2">
      <c r="A69" s="14" t="s">
        <v>20</v>
      </c>
      <c r="B69" s="14" t="s">
        <v>120</v>
      </c>
      <c r="C69" s="14" t="s">
        <v>22</v>
      </c>
      <c r="D69" s="23" t="s">
        <v>131</v>
      </c>
      <c r="E69" s="14" t="s">
        <v>154</v>
      </c>
      <c r="F69" s="14" t="s">
        <v>25</v>
      </c>
      <c r="G69" s="14" t="s">
        <v>155</v>
      </c>
      <c r="H69" s="14" t="s">
        <v>27</v>
      </c>
      <c r="I69" s="14" t="s">
        <v>28</v>
      </c>
      <c r="J69" s="16">
        <v>3</v>
      </c>
      <c r="K69" s="14" t="s">
        <v>144</v>
      </c>
      <c r="L69" s="14" t="s">
        <v>1502</v>
      </c>
      <c r="M69" s="231" t="s">
        <v>1521</v>
      </c>
      <c r="N69" s="26" t="s">
        <v>135</v>
      </c>
      <c r="O69" s="16" t="s">
        <v>31</v>
      </c>
      <c r="P69" s="28" t="s">
        <v>138</v>
      </c>
      <c r="Q69" s="18" t="str">
        <f t="shared" si="0"/>
        <v xml:space="preserve">BM HB01 _ A _ La CCMH est calculée à partir du taux d'hémoglobine et d'hématocrite.  _ Quantitatif _ Automatisée _ 3 _ SYSMEX XN10
</v>
      </c>
      <c r="R69" s="4"/>
      <c r="S69" s="4"/>
      <c r="T69" s="4"/>
      <c r="U69" s="4"/>
    </row>
    <row r="70" spans="1:21" ht="102" x14ac:dyDescent="0.2">
      <c r="A70" s="14" t="s">
        <v>20</v>
      </c>
      <c r="B70" s="14" t="s">
        <v>120</v>
      </c>
      <c r="C70" s="14" t="s">
        <v>22</v>
      </c>
      <c r="D70" s="23" t="s">
        <v>131</v>
      </c>
      <c r="E70" s="14" t="s">
        <v>156</v>
      </c>
      <c r="F70" s="14" t="s">
        <v>25</v>
      </c>
      <c r="G70" s="14" t="s">
        <v>140</v>
      </c>
      <c r="H70" s="14" t="s">
        <v>27</v>
      </c>
      <c r="I70" s="14" t="s">
        <v>28</v>
      </c>
      <c r="J70" s="16">
        <v>3</v>
      </c>
      <c r="K70" s="14" t="s">
        <v>144</v>
      </c>
      <c r="L70" s="14" t="s">
        <v>1502</v>
      </c>
      <c r="M70" s="231" t="s">
        <v>1521</v>
      </c>
      <c r="N70" s="26" t="s">
        <v>135</v>
      </c>
      <c r="O70" s="16" t="s">
        <v>31</v>
      </c>
      <c r="P70" s="28" t="s">
        <v>138</v>
      </c>
      <c r="Q70" s="18" t="str">
        <f t="shared" si="0"/>
        <v xml:space="preserve">BM HB01 _ A _ Diffraction optique en cytométrie de flux avec laser semi-conducteur et fluorescence. _ Quantitatif _ Automatisée _ 3 _ SYSMEX XN10
</v>
      </c>
      <c r="R70" s="4"/>
      <c r="S70" s="4"/>
      <c r="T70" s="4"/>
      <c r="U70" s="4"/>
    </row>
    <row r="71" spans="1:21" ht="102" x14ac:dyDescent="0.2">
      <c r="A71" s="14" t="s">
        <v>20</v>
      </c>
      <c r="B71" s="14" t="s">
        <v>120</v>
      </c>
      <c r="C71" s="14" t="s">
        <v>22</v>
      </c>
      <c r="D71" s="23" t="s">
        <v>131</v>
      </c>
      <c r="E71" s="14" t="s">
        <v>157</v>
      </c>
      <c r="F71" s="14" t="s">
        <v>25</v>
      </c>
      <c r="G71" s="14" t="s">
        <v>140</v>
      </c>
      <c r="H71" s="14" t="s">
        <v>27</v>
      </c>
      <c r="I71" s="14" t="s">
        <v>28</v>
      </c>
      <c r="J71" s="16">
        <v>3</v>
      </c>
      <c r="K71" s="14" t="s">
        <v>144</v>
      </c>
      <c r="L71" s="14" t="s">
        <v>1502</v>
      </c>
      <c r="M71" s="231" t="s">
        <v>1521</v>
      </c>
      <c r="N71" s="26" t="s">
        <v>135</v>
      </c>
      <c r="O71" s="16" t="s">
        <v>31</v>
      </c>
      <c r="P71" s="28" t="s">
        <v>138</v>
      </c>
      <c r="Q71" s="18" t="str">
        <f t="shared" si="0"/>
        <v xml:space="preserve">BM HB01 _ A _ Diffraction optique en cytométrie de flux avec laser semi-conducteur et fluorescence. _ Quantitatif _ Automatisée _ 3 _ SYSMEX XN10
</v>
      </c>
      <c r="R71" s="4"/>
      <c r="S71" s="4"/>
      <c r="T71" s="4"/>
      <c r="U71" s="4"/>
    </row>
    <row r="72" spans="1:21" ht="102" x14ac:dyDescent="0.2">
      <c r="A72" s="14" t="s">
        <v>20</v>
      </c>
      <c r="B72" s="14" t="s">
        <v>120</v>
      </c>
      <c r="C72" s="14" t="s">
        <v>22</v>
      </c>
      <c r="D72" s="23" t="s">
        <v>131</v>
      </c>
      <c r="E72" s="20" t="s">
        <v>158</v>
      </c>
      <c r="F72" s="14" t="s">
        <v>25</v>
      </c>
      <c r="G72" s="14" t="s">
        <v>159</v>
      </c>
      <c r="H72" s="14" t="s">
        <v>27</v>
      </c>
      <c r="I72" s="14" t="s">
        <v>28</v>
      </c>
      <c r="J72" s="16">
        <v>3</v>
      </c>
      <c r="K72" s="14" t="s">
        <v>144</v>
      </c>
      <c r="L72" s="14" t="s">
        <v>1502</v>
      </c>
      <c r="M72" s="231" t="s">
        <v>1521</v>
      </c>
      <c r="N72" s="26" t="s">
        <v>135</v>
      </c>
      <c r="O72" s="16" t="s">
        <v>31</v>
      </c>
      <c r="P72" s="28" t="s">
        <v>138</v>
      </c>
      <c r="Q72" s="18" t="str">
        <f t="shared" si="0"/>
        <v xml:space="preserve">BM HB01 _ A _ Diffraction optique (laser semi-conducteur) en cytométrie de flux et fluorescence. _ Quantitatif _ Automatisée _ 3 _ SYSMEX XN10
</v>
      </c>
      <c r="R72" s="4"/>
      <c r="S72" s="4"/>
      <c r="T72" s="4"/>
      <c r="U72" s="4"/>
    </row>
    <row r="73" spans="1:21" ht="114.75" x14ac:dyDescent="0.2">
      <c r="A73" s="14" t="s">
        <v>20</v>
      </c>
      <c r="B73" s="14" t="s">
        <v>120</v>
      </c>
      <c r="C73" s="14" t="s">
        <v>22</v>
      </c>
      <c r="D73" s="23" t="s">
        <v>131</v>
      </c>
      <c r="E73" s="14" t="s">
        <v>160</v>
      </c>
      <c r="F73" s="14" t="s">
        <v>25</v>
      </c>
      <c r="G73" s="14" t="s">
        <v>161</v>
      </c>
      <c r="H73" s="14" t="s">
        <v>27</v>
      </c>
      <c r="I73" s="14" t="s">
        <v>28</v>
      </c>
      <c r="J73" s="16">
        <v>3</v>
      </c>
      <c r="K73" s="14" t="s">
        <v>144</v>
      </c>
      <c r="L73" s="14" t="s">
        <v>1502</v>
      </c>
      <c r="M73" s="231" t="s">
        <v>1521</v>
      </c>
      <c r="N73" s="26" t="s">
        <v>135</v>
      </c>
      <c r="O73" s="16" t="s">
        <v>31</v>
      </c>
      <c r="P73" s="28" t="s">
        <v>138</v>
      </c>
      <c r="Q73" s="18" t="str">
        <f t="shared" si="0"/>
        <v xml:space="preserve">BM HB01 _ A _ La TCMH est calculée à partir du taux d'hémoglobine et du nombre de globules rouges.  _ Quantitatif _ Automatisée _ 3 _ SYSMEX XN10
</v>
      </c>
      <c r="R73" s="4"/>
      <c r="S73" s="4"/>
      <c r="T73" s="4"/>
      <c r="U73" s="4"/>
    </row>
    <row r="74" spans="1:21" ht="114.75" x14ac:dyDescent="0.2">
      <c r="A74" s="14" t="s">
        <v>20</v>
      </c>
      <c r="B74" s="14" t="s">
        <v>120</v>
      </c>
      <c r="C74" s="14" t="s">
        <v>22</v>
      </c>
      <c r="D74" s="23" t="s">
        <v>131</v>
      </c>
      <c r="E74" s="14" t="s">
        <v>162</v>
      </c>
      <c r="F74" s="14" t="s">
        <v>25</v>
      </c>
      <c r="G74" s="14" t="s">
        <v>163</v>
      </c>
      <c r="H74" s="14" t="s">
        <v>27</v>
      </c>
      <c r="I74" s="14" t="s">
        <v>28</v>
      </c>
      <c r="J74" s="16">
        <v>3</v>
      </c>
      <c r="K74" s="14" t="s">
        <v>144</v>
      </c>
      <c r="L74" s="14" t="s">
        <v>1502</v>
      </c>
      <c r="M74" s="231" t="s">
        <v>1521</v>
      </c>
      <c r="N74" s="26" t="s">
        <v>135</v>
      </c>
      <c r="O74" s="16" t="s">
        <v>31</v>
      </c>
      <c r="P74" s="28" t="s">
        <v>138</v>
      </c>
      <c r="Q74" s="18" t="str">
        <f t="shared" si="0"/>
        <v xml:space="preserve">BM HB01 _ A _ Impédance en cytométrie à volume fixe calibré (référence : cellule de Malassez)
 _ Quantitatif _ Automatisée _ 3 _ SYSMEX XN10
</v>
      </c>
      <c r="R74" s="4"/>
      <c r="S74" s="4"/>
      <c r="T74" s="4"/>
      <c r="U74" s="4"/>
    </row>
    <row r="75" spans="1:21" ht="216.75" x14ac:dyDescent="0.2">
      <c r="A75" s="14" t="s">
        <v>20</v>
      </c>
      <c r="B75" s="14" t="s">
        <v>120</v>
      </c>
      <c r="C75" s="14" t="s">
        <v>22</v>
      </c>
      <c r="D75" s="23" t="s">
        <v>131</v>
      </c>
      <c r="E75" s="14" t="s">
        <v>164</v>
      </c>
      <c r="F75" s="14" t="s">
        <v>25</v>
      </c>
      <c r="G75" s="14" t="s">
        <v>143</v>
      </c>
      <c r="H75" s="14" t="s">
        <v>27</v>
      </c>
      <c r="I75" s="14" t="s">
        <v>28</v>
      </c>
      <c r="J75" s="16">
        <v>3</v>
      </c>
      <c r="K75" s="14" t="s">
        <v>144</v>
      </c>
      <c r="L75" s="14" t="s">
        <v>1502</v>
      </c>
      <c r="M75" s="231" t="s">
        <v>1521</v>
      </c>
      <c r="N75" s="26" t="s">
        <v>135</v>
      </c>
      <c r="O75" s="16" t="s">
        <v>31</v>
      </c>
      <c r="P75" s="27">
        <v>546</v>
      </c>
      <c r="Q75" s="18" t="str">
        <f t="shared" si="0"/>
        <v xml:space="preserve">BM HB01 _ A _ Impédance en cytométrie à volume fixe calibré (référence : cellule de Malassez)
ou
Diffraction optique en cytométrie de flux avec laser semi-conducteur et fluorescence _ Quantitatif _ Automatisée _ 3 _ SYSMEX XN10
</v>
      </c>
      <c r="R75" s="4"/>
      <c r="S75" s="4"/>
      <c r="T75" s="4"/>
      <c r="U75" s="4"/>
    </row>
    <row r="76" spans="1:21" ht="38.25" x14ac:dyDescent="0.2">
      <c r="A76" s="14" t="s">
        <v>20</v>
      </c>
      <c r="B76" s="14" t="s">
        <v>120</v>
      </c>
      <c r="C76" s="14" t="s">
        <v>22</v>
      </c>
      <c r="D76" s="23" t="s">
        <v>131</v>
      </c>
      <c r="E76" s="14" t="s">
        <v>165</v>
      </c>
      <c r="F76" s="14" t="s">
        <v>25</v>
      </c>
      <c r="G76" s="14" t="s">
        <v>166</v>
      </c>
      <c r="H76" s="14" t="s">
        <v>27</v>
      </c>
      <c r="I76" s="14" t="s">
        <v>28</v>
      </c>
      <c r="J76" s="16">
        <v>2</v>
      </c>
      <c r="K76" s="14" t="s">
        <v>134</v>
      </c>
      <c r="L76" s="14" t="s">
        <v>1502</v>
      </c>
      <c r="M76" s="231" t="s">
        <v>1521</v>
      </c>
      <c r="N76" s="26" t="s">
        <v>135</v>
      </c>
      <c r="O76" s="16" t="s">
        <v>31</v>
      </c>
      <c r="P76" s="28" t="s">
        <v>167</v>
      </c>
      <c r="Q76" s="18" t="str">
        <f t="shared" si="0"/>
        <v>BM HB01 _ A _ Méthode de détection par l’optique _ Quantitatif _ Automatisée _ 2 _ SYSMEX XN10</v>
      </c>
      <c r="R76" s="4"/>
      <c r="S76" s="4"/>
      <c r="T76" s="4"/>
      <c r="U76" s="4"/>
    </row>
    <row r="77" spans="1:21" ht="76.5" x14ac:dyDescent="0.2">
      <c r="A77" s="14" t="s">
        <v>20</v>
      </c>
      <c r="B77" s="14" t="s">
        <v>120</v>
      </c>
      <c r="C77" s="14" t="s">
        <v>22</v>
      </c>
      <c r="D77" s="23" t="s">
        <v>131</v>
      </c>
      <c r="E77" s="14" t="s">
        <v>168</v>
      </c>
      <c r="F77" s="14" t="s">
        <v>25</v>
      </c>
      <c r="G77" s="14" t="s">
        <v>169</v>
      </c>
      <c r="H77" s="14" t="s">
        <v>170</v>
      </c>
      <c r="I77" s="14" t="s">
        <v>171</v>
      </c>
      <c r="J77" s="16"/>
      <c r="K77" s="14"/>
      <c r="L77" s="14" t="s">
        <v>172</v>
      </c>
      <c r="M77" s="231"/>
      <c r="N77" s="26" t="s">
        <v>135</v>
      </c>
      <c r="O77" s="16" t="s">
        <v>31</v>
      </c>
      <c r="P77" s="27">
        <v>5447</v>
      </c>
      <c r="Q77" s="18" t="str">
        <f t="shared" si="0"/>
        <v xml:space="preserve">BM HB01 _ A _ Etude de la morphologie des hématies sur frottis sanguin au microscope. _ Qualitatif _ Manuelle _  _ </v>
      </c>
      <c r="R77" s="4"/>
      <c r="S77" s="4"/>
      <c r="T77" s="4"/>
      <c r="U77" s="4"/>
    </row>
    <row r="78" spans="1:21" ht="25.5" x14ac:dyDescent="0.2">
      <c r="A78" s="14" t="s">
        <v>20</v>
      </c>
      <c r="B78" s="14" t="s">
        <v>120</v>
      </c>
      <c r="C78" s="14" t="s">
        <v>22</v>
      </c>
      <c r="D78" s="23" t="s">
        <v>131</v>
      </c>
      <c r="E78" s="20" t="s">
        <v>173</v>
      </c>
      <c r="F78" s="14" t="s">
        <v>25</v>
      </c>
      <c r="G78" s="14" t="s">
        <v>174</v>
      </c>
      <c r="H78" s="14" t="s">
        <v>170</v>
      </c>
      <c r="I78" s="14" t="s">
        <v>171</v>
      </c>
      <c r="J78" s="16"/>
      <c r="K78" s="14"/>
      <c r="L78" s="14" t="s">
        <v>175</v>
      </c>
      <c r="M78" s="231"/>
      <c r="N78" s="26" t="s">
        <v>135</v>
      </c>
      <c r="O78" s="16" t="s">
        <v>31</v>
      </c>
      <c r="P78" s="28" t="s">
        <v>176</v>
      </c>
      <c r="Q78" s="18" t="str">
        <f t="shared" si="0"/>
        <v xml:space="preserve">BM HB01 _ A _ Microscopie optique _ Qualitatif _ Manuelle _  _ </v>
      </c>
      <c r="R78" s="4"/>
      <c r="S78" s="4"/>
      <c r="T78" s="4"/>
      <c r="U78" s="4"/>
    </row>
    <row r="79" spans="1:21" ht="153" x14ac:dyDescent="0.2">
      <c r="A79" s="14" t="s">
        <v>20</v>
      </c>
      <c r="B79" s="29" t="s">
        <v>177</v>
      </c>
      <c r="C79" s="30" t="s">
        <v>177</v>
      </c>
      <c r="D79" s="30" t="s">
        <v>178</v>
      </c>
      <c r="E79" s="30" t="s">
        <v>179</v>
      </c>
      <c r="F79" s="30" t="s">
        <v>180</v>
      </c>
      <c r="G79" s="30" t="s">
        <v>181</v>
      </c>
      <c r="H79" s="30" t="s">
        <v>170</v>
      </c>
      <c r="I79" s="30" t="s">
        <v>182</v>
      </c>
      <c r="J79" s="31">
        <v>1</v>
      </c>
      <c r="K79" s="232" t="s">
        <v>1656</v>
      </c>
      <c r="L79" s="128" t="s">
        <v>1803</v>
      </c>
      <c r="M79" s="21"/>
      <c r="N79" s="32" t="s">
        <v>183</v>
      </c>
      <c r="O79" s="16" t="s">
        <v>184</v>
      </c>
      <c r="P79" s="27">
        <v>706</v>
      </c>
      <c r="Q79" s="18" t="str">
        <f t="shared" si="0"/>
        <v xml:space="preserve">AC GS01 _ B _ PCR et Analyse des fragments d'amplification par électrophorèse capillaire. _ Qualitatif _ Semi-automatisée _ 1 _ Séquenceur automatique d'ADN 3500, Applied Biosystems </v>
      </c>
      <c r="R79" s="4"/>
      <c r="S79" s="4"/>
      <c r="T79" s="4"/>
      <c r="U79" s="4"/>
    </row>
    <row r="80" spans="1:21" ht="114.75" x14ac:dyDescent="0.2">
      <c r="A80" s="14" t="s">
        <v>20</v>
      </c>
      <c r="B80" s="29" t="s">
        <v>177</v>
      </c>
      <c r="C80" s="29" t="s">
        <v>177</v>
      </c>
      <c r="D80" s="30" t="s">
        <v>178</v>
      </c>
      <c r="E80" s="33" t="s">
        <v>185</v>
      </c>
      <c r="F80" s="29" t="s">
        <v>186</v>
      </c>
      <c r="G80" s="29" t="s">
        <v>187</v>
      </c>
      <c r="H80" s="29" t="s">
        <v>170</v>
      </c>
      <c r="I80" s="29" t="s">
        <v>182</v>
      </c>
      <c r="J80" s="34">
        <v>1</v>
      </c>
      <c r="K80" s="232" t="s">
        <v>1656</v>
      </c>
      <c r="L80" s="14" t="s">
        <v>1804</v>
      </c>
      <c r="M80" s="29"/>
      <c r="N80" s="32" t="s">
        <v>183</v>
      </c>
      <c r="O80" s="16" t="s">
        <v>184</v>
      </c>
      <c r="P80" s="27">
        <v>83</v>
      </c>
      <c r="Q80" s="18" t="str">
        <f t="shared" ref="Q80:Q143" si="1">CONCATENATE(N80," _ ",O80," _ ",G80," _ ",H80," _ ",I80," _ ",J80," _ ",K80)</f>
        <v xml:space="preserve">AC GS01 _ B _ PCR et Extension d'amorces par SNaPshot à partir des produits d'amplification du gène  _ Qualitatif _ Semi-automatisée _ 1 _ Séquenceur automatique d'ADN 3500, Applied Biosystems </v>
      </c>
      <c r="R80" s="4"/>
    </row>
    <row r="81" spans="1:18" ht="114.75" x14ac:dyDescent="0.2">
      <c r="A81" s="14" t="s">
        <v>20</v>
      </c>
      <c r="B81" s="29" t="s">
        <v>177</v>
      </c>
      <c r="C81" s="29" t="s">
        <v>177</v>
      </c>
      <c r="D81" s="30" t="s">
        <v>178</v>
      </c>
      <c r="E81" s="33" t="s">
        <v>188</v>
      </c>
      <c r="F81" s="29" t="s">
        <v>186</v>
      </c>
      <c r="G81" s="29" t="s">
        <v>187</v>
      </c>
      <c r="H81" s="29" t="s">
        <v>170</v>
      </c>
      <c r="I81" s="29" t="s">
        <v>182</v>
      </c>
      <c r="J81" s="34">
        <v>1</v>
      </c>
      <c r="K81" s="232" t="s">
        <v>1656</v>
      </c>
      <c r="L81" s="14" t="s">
        <v>1805</v>
      </c>
      <c r="M81" s="29"/>
      <c r="N81" s="32" t="s">
        <v>183</v>
      </c>
      <c r="O81" s="16" t="s">
        <v>184</v>
      </c>
      <c r="P81" s="27">
        <v>70</v>
      </c>
      <c r="Q81" s="18" t="str">
        <f t="shared" si="1"/>
        <v xml:space="preserve">AC GS01 _ B _ PCR et Extension d'amorces par SNaPshot à partir des produits d'amplification du gène  _ Qualitatif _ Semi-automatisée _ 1 _ Séquenceur automatique d'ADN 3500, Applied Biosystems </v>
      </c>
      <c r="R81" s="286"/>
    </row>
    <row r="82" spans="1:18" ht="114.75" x14ac:dyDescent="0.2">
      <c r="A82" s="14" t="s">
        <v>20</v>
      </c>
      <c r="B82" s="29" t="s">
        <v>177</v>
      </c>
      <c r="C82" s="29" t="s">
        <v>177</v>
      </c>
      <c r="D82" s="30" t="s">
        <v>178</v>
      </c>
      <c r="E82" s="33" t="s">
        <v>189</v>
      </c>
      <c r="F82" s="29" t="s">
        <v>186</v>
      </c>
      <c r="G82" s="29" t="s">
        <v>190</v>
      </c>
      <c r="H82" s="29" t="s">
        <v>170</v>
      </c>
      <c r="I82" s="29" t="s">
        <v>182</v>
      </c>
      <c r="J82" s="34">
        <v>1</v>
      </c>
      <c r="K82" s="232" t="s">
        <v>1656</v>
      </c>
      <c r="L82" s="14" t="s">
        <v>1806</v>
      </c>
      <c r="M82" s="29"/>
      <c r="N82" s="32" t="s">
        <v>183</v>
      </c>
      <c r="O82" s="16" t="s">
        <v>184</v>
      </c>
      <c r="P82" s="27">
        <v>836</v>
      </c>
      <c r="Q82" s="18" t="str">
        <f t="shared" si="1"/>
        <v xml:space="preserve">AC GS01 _ B _ PCR et Extension d'amorces par SNaPshot à partir des produits d'amplification du gène _ Qualitatif _ Semi-automatisée _ 1 _ Séquenceur automatique d'ADN 3500, Applied Biosystems </v>
      </c>
      <c r="R82" s="286"/>
    </row>
    <row r="83" spans="1:18" ht="140.25" x14ac:dyDescent="0.2">
      <c r="A83" s="14" t="s">
        <v>20</v>
      </c>
      <c r="B83" s="29" t="s">
        <v>177</v>
      </c>
      <c r="C83" s="29" t="s">
        <v>177</v>
      </c>
      <c r="D83" s="30" t="s">
        <v>178</v>
      </c>
      <c r="E83" s="35" t="s">
        <v>191</v>
      </c>
      <c r="F83" s="29" t="s">
        <v>186</v>
      </c>
      <c r="G83" s="29" t="s">
        <v>190</v>
      </c>
      <c r="H83" s="29" t="s">
        <v>170</v>
      </c>
      <c r="I83" s="29" t="s">
        <v>182</v>
      </c>
      <c r="J83" s="34">
        <v>1</v>
      </c>
      <c r="K83" s="232" t="s">
        <v>1656</v>
      </c>
      <c r="L83" s="14" t="s">
        <v>1807</v>
      </c>
      <c r="M83" s="29"/>
      <c r="N83" s="32" t="s">
        <v>183</v>
      </c>
      <c r="O83" s="16" t="s">
        <v>184</v>
      </c>
      <c r="P83" s="27">
        <v>721</v>
      </c>
      <c r="Q83" s="18" t="str">
        <f t="shared" si="1"/>
        <v xml:space="preserve">AC GS01 _ B _ PCR et Extension d'amorces par SNaPshot à partir des produits d'amplification du gène _ Qualitatif _ Semi-automatisée _ 1 _ Séquenceur automatique d'ADN 3500, Applied Biosystems </v>
      </c>
      <c r="R83" s="286"/>
    </row>
    <row r="84" spans="1:18" ht="153" x14ac:dyDescent="0.2">
      <c r="A84" s="14" t="s">
        <v>20</v>
      </c>
      <c r="B84" s="29" t="s">
        <v>177</v>
      </c>
      <c r="C84" s="29" t="s">
        <v>177</v>
      </c>
      <c r="D84" s="30" t="s">
        <v>178</v>
      </c>
      <c r="E84" s="33" t="s">
        <v>192</v>
      </c>
      <c r="F84" s="29" t="s">
        <v>193</v>
      </c>
      <c r="G84" s="29" t="s">
        <v>194</v>
      </c>
      <c r="H84" s="29" t="s">
        <v>170</v>
      </c>
      <c r="I84" s="29" t="s">
        <v>28</v>
      </c>
      <c r="J84" s="34">
        <v>1</v>
      </c>
      <c r="K84" s="29" t="s">
        <v>195</v>
      </c>
      <c r="L84" s="14" t="s">
        <v>1808</v>
      </c>
      <c r="M84" s="29"/>
      <c r="N84" s="32" t="s">
        <v>183</v>
      </c>
      <c r="O84" s="16" t="s">
        <v>184</v>
      </c>
      <c r="P84" s="27">
        <v>219</v>
      </c>
      <c r="Q84" s="18" t="str">
        <f t="shared" si="1"/>
        <v>AC GS01 _ B _ PCR en temps réel à partir d'un couple d'amorces et en présence de sondes oligonucléotidiques marquées par des fluorochromes  _ Qualitatif _ Automatisée _ 1 _ cobas z 480 analyzer</v>
      </c>
      <c r="R84" s="286"/>
    </row>
    <row r="85" spans="1:18" ht="165.75" x14ac:dyDescent="0.2">
      <c r="A85" s="14" t="s">
        <v>20</v>
      </c>
      <c r="B85" s="29" t="s">
        <v>177</v>
      </c>
      <c r="C85" s="29" t="s">
        <v>177</v>
      </c>
      <c r="D85" s="30" t="s">
        <v>178</v>
      </c>
      <c r="E85" s="33" t="s">
        <v>196</v>
      </c>
      <c r="F85" s="29" t="s">
        <v>197</v>
      </c>
      <c r="G85" s="29" t="s">
        <v>198</v>
      </c>
      <c r="H85" s="29" t="s">
        <v>170</v>
      </c>
      <c r="I85" s="29" t="s">
        <v>28</v>
      </c>
      <c r="J85" s="34">
        <v>2</v>
      </c>
      <c r="K85" s="29" t="s">
        <v>199</v>
      </c>
      <c r="L85" s="17" t="s">
        <v>1809</v>
      </c>
      <c r="M85" s="29"/>
      <c r="N85" s="32" t="s">
        <v>183</v>
      </c>
      <c r="O85" s="16" t="s">
        <v>31</v>
      </c>
      <c r="P85" s="27">
        <v>314</v>
      </c>
      <c r="Q85" s="18" t="str">
        <f t="shared" si="1"/>
        <v>AC GS01 _ A _ Libération des acides nucléiques puis amplification des acides nucléiques libérés par PCR en temps réel. Détection par fluorescence _ Qualitatif _ Automatisée _ 2 _ IdyllaTM, Biocartis</v>
      </c>
      <c r="R85" s="286"/>
    </row>
    <row r="86" spans="1:18" ht="114.75" x14ac:dyDescent="0.2">
      <c r="A86" s="14" t="s">
        <v>20</v>
      </c>
      <c r="B86" s="30" t="s">
        <v>177</v>
      </c>
      <c r="C86" s="30" t="s">
        <v>177</v>
      </c>
      <c r="D86" s="30" t="s">
        <v>200</v>
      </c>
      <c r="E86" s="30" t="s">
        <v>201</v>
      </c>
      <c r="F86" s="30" t="s">
        <v>202</v>
      </c>
      <c r="G86" s="30" t="s">
        <v>203</v>
      </c>
      <c r="H86" s="30" t="s">
        <v>170</v>
      </c>
      <c r="I86" s="30" t="s">
        <v>28</v>
      </c>
      <c r="J86" s="31">
        <v>4</v>
      </c>
      <c r="K86" s="30" t="s">
        <v>204</v>
      </c>
      <c r="L86" s="128" t="s">
        <v>1657</v>
      </c>
      <c r="M86" s="14"/>
      <c r="N86" s="32" t="s">
        <v>205</v>
      </c>
      <c r="O86" s="36" t="s">
        <v>184</v>
      </c>
      <c r="P86" s="27">
        <v>183224</v>
      </c>
      <c r="Q86" s="18" t="str">
        <f t="shared" si="1"/>
        <v>AC HA01 _ B _ Coloration standard HES _ Qualitatif _ Automatisée _ 4 _ Automate de Coloration SAKURA PRISMA</v>
      </c>
      <c r="R86" s="286"/>
    </row>
    <row r="87" spans="1:18" ht="76.5" x14ac:dyDescent="0.2">
      <c r="A87" s="14" t="s">
        <v>20</v>
      </c>
      <c r="B87" s="23" t="s">
        <v>206</v>
      </c>
      <c r="C87" s="23" t="s">
        <v>22</v>
      </c>
      <c r="D87" s="23" t="s">
        <v>207</v>
      </c>
      <c r="E87" s="37" t="s">
        <v>208</v>
      </c>
      <c r="F87" s="23" t="s">
        <v>209</v>
      </c>
      <c r="G87" s="23" t="s">
        <v>210</v>
      </c>
      <c r="H87" s="23" t="s">
        <v>170</v>
      </c>
      <c r="I87" s="23" t="s">
        <v>182</v>
      </c>
      <c r="J87" s="36">
        <v>2</v>
      </c>
      <c r="K87" s="15" t="s">
        <v>211</v>
      </c>
      <c r="L87" s="23" t="s">
        <v>1658</v>
      </c>
      <c r="M87" s="19"/>
      <c r="N87" s="26" t="s">
        <v>212</v>
      </c>
      <c r="O87" s="36" t="s">
        <v>184</v>
      </c>
      <c r="P87" s="27">
        <v>733</v>
      </c>
      <c r="Q87" s="18" t="str">
        <f t="shared" si="1"/>
        <v>BM BA02 _ B _ Détection d'acides nucléiques (PCR)-Biologie moléculaire _ Qualitatif _ Semi-automatisée _ 2 _ Extraction: EZ 1 Qiagen
PCR temps réel: CFX96 Biorad</v>
      </c>
      <c r="R87" s="286"/>
    </row>
    <row r="88" spans="1:18" ht="76.5" x14ac:dyDescent="0.2">
      <c r="A88" s="14" t="s">
        <v>20</v>
      </c>
      <c r="B88" s="24" t="s">
        <v>206</v>
      </c>
      <c r="C88" s="24" t="s">
        <v>69</v>
      </c>
      <c r="D88" s="19" t="s">
        <v>213</v>
      </c>
      <c r="E88" s="24" t="s">
        <v>214</v>
      </c>
      <c r="F88" s="24" t="s">
        <v>215</v>
      </c>
      <c r="G88" s="24" t="s">
        <v>216</v>
      </c>
      <c r="H88" s="24" t="s">
        <v>170</v>
      </c>
      <c r="I88" s="24" t="s">
        <v>171</v>
      </c>
      <c r="J88" s="16"/>
      <c r="K88" s="24"/>
      <c r="L88" s="287" t="s">
        <v>1659</v>
      </c>
      <c r="M88" s="288" t="s">
        <v>1503</v>
      </c>
      <c r="N88" s="32" t="s">
        <v>217</v>
      </c>
      <c r="O88" s="16" t="s">
        <v>31</v>
      </c>
      <c r="P88" s="289">
        <v>31166</v>
      </c>
      <c r="Q88" s="18" t="str">
        <f t="shared" si="1"/>
        <v xml:space="preserve">BM MG11 _ A _ Mise en culture (ensemencement) _ Qualitatif _ Manuelle _  _ </v>
      </c>
      <c r="R88" s="286"/>
    </row>
    <row r="89" spans="1:18" ht="63.75" x14ac:dyDescent="0.2">
      <c r="A89" s="14" t="s">
        <v>20</v>
      </c>
      <c r="B89" s="24" t="s">
        <v>206</v>
      </c>
      <c r="C89" s="24" t="s">
        <v>69</v>
      </c>
      <c r="D89" s="19" t="s">
        <v>213</v>
      </c>
      <c r="E89" s="38" t="s">
        <v>218</v>
      </c>
      <c r="F89" s="24" t="s">
        <v>219</v>
      </c>
      <c r="G89" s="24" t="s">
        <v>216</v>
      </c>
      <c r="H89" s="24" t="s">
        <v>170</v>
      </c>
      <c r="I89" s="24" t="s">
        <v>28</v>
      </c>
      <c r="J89" s="16">
        <v>2</v>
      </c>
      <c r="K89" s="24" t="s">
        <v>220</v>
      </c>
      <c r="L89" s="287" t="s">
        <v>1660</v>
      </c>
      <c r="M89" s="288" t="s">
        <v>1503</v>
      </c>
      <c r="N89" s="32" t="s">
        <v>217</v>
      </c>
      <c r="O89" s="16" t="s">
        <v>31</v>
      </c>
      <c r="P89" s="289">
        <v>62240</v>
      </c>
      <c r="Q89" s="18" t="str">
        <f t="shared" si="1"/>
        <v>BM MG11 _ A _ Mise en culture (ensemencement) _ Qualitatif _ Automatisée _ 2 _ Automate PreLUD (I2A)</v>
      </c>
      <c r="R89" s="286"/>
    </row>
    <row r="90" spans="1:18" ht="114.75" x14ac:dyDescent="0.2">
      <c r="A90" s="14" t="s">
        <v>20</v>
      </c>
      <c r="B90" s="24" t="s">
        <v>206</v>
      </c>
      <c r="C90" s="24" t="s">
        <v>69</v>
      </c>
      <c r="D90" s="19" t="s">
        <v>213</v>
      </c>
      <c r="E90" s="38" t="s">
        <v>221</v>
      </c>
      <c r="F90" s="24" t="s">
        <v>222</v>
      </c>
      <c r="G90" s="24" t="s">
        <v>223</v>
      </c>
      <c r="H90" s="24" t="s">
        <v>170</v>
      </c>
      <c r="I90" s="24" t="s">
        <v>28</v>
      </c>
      <c r="J90" s="16">
        <v>1</v>
      </c>
      <c r="K90" s="24" t="s">
        <v>224</v>
      </c>
      <c r="L90" s="287" t="s">
        <v>1661</v>
      </c>
      <c r="M90" s="288" t="s">
        <v>1503</v>
      </c>
      <c r="N90" s="32" t="s">
        <v>217</v>
      </c>
      <c r="O90" s="16" t="s">
        <v>31</v>
      </c>
      <c r="P90" s="27"/>
      <c r="Q90" s="18" t="str">
        <f t="shared" si="1"/>
        <v>BM MG11 _ A _ Détermination phénotypique après culture.
Colorimétrie _ Qualitatif _ Automatisée _ 1 _ Automate Vitek2 (Bio Mérieux)</v>
      </c>
      <c r="R90" s="286"/>
    </row>
    <row r="91" spans="1:18" ht="140.25" x14ac:dyDescent="0.2">
      <c r="A91" s="14" t="s">
        <v>20</v>
      </c>
      <c r="B91" s="24" t="s">
        <v>206</v>
      </c>
      <c r="C91" s="24" t="s">
        <v>69</v>
      </c>
      <c r="D91" s="19" t="s">
        <v>213</v>
      </c>
      <c r="E91" s="38" t="s">
        <v>225</v>
      </c>
      <c r="F91" s="24" t="s">
        <v>222</v>
      </c>
      <c r="G91" s="24" t="s">
        <v>226</v>
      </c>
      <c r="H91" s="24" t="s">
        <v>170</v>
      </c>
      <c r="I91" s="24" t="s">
        <v>171</v>
      </c>
      <c r="J91" s="16">
        <v>2</v>
      </c>
      <c r="K91" s="24" t="s">
        <v>227</v>
      </c>
      <c r="L91" s="287" t="s">
        <v>1662</v>
      </c>
      <c r="M91" s="288" t="s">
        <v>1503</v>
      </c>
      <c r="N91" s="32" t="s">
        <v>217</v>
      </c>
      <c r="O91" s="16" t="s">
        <v>184</v>
      </c>
      <c r="P91" s="27"/>
      <c r="Q91" s="18" t="str">
        <f t="shared" si="1"/>
        <v>BM MG11 _ B _ Détermination phénotypique après culture.
Morphologie,microscopie,caractérisation par spectrométrie de masse. _ Qualitatif _ Manuelle _ 2 _ Microscope
Spectromètres de masse Maldi Tof (Brucker)</v>
      </c>
      <c r="R91" s="286"/>
    </row>
    <row r="92" spans="1:18" ht="178.5" x14ac:dyDescent="0.2">
      <c r="A92" s="14" t="s">
        <v>20</v>
      </c>
      <c r="B92" s="24" t="s">
        <v>206</v>
      </c>
      <c r="C92" s="24" t="s">
        <v>69</v>
      </c>
      <c r="D92" s="19" t="s">
        <v>213</v>
      </c>
      <c r="E92" s="38" t="s">
        <v>228</v>
      </c>
      <c r="F92" s="24" t="s">
        <v>229</v>
      </c>
      <c r="G92" s="24" t="s">
        <v>230</v>
      </c>
      <c r="H92" s="24" t="s">
        <v>231</v>
      </c>
      <c r="I92" s="24" t="s">
        <v>232</v>
      </c>
      <c r="J92" s="16">
        <v>2</v>
      </c>
      <c r="K92" s="24" t="s">
        <v>233</v>
      </c>
      <c r="L92" s="287" t="s">
        <v>234</v>
      </c>
      <c r="M92" s="288" t="s">
        <v>1503</v>
      </c>
      <c r="N92" s="32" t="s">
        <v>217</v>
      </c>
      <c r="O92" s="16" t="s">
        <v>31</v>
      </c>
      <c r="P92" s="27" t="s">
        <v>235</v>
      </c>
      <c r="Q92" s="18" t="str">
        <f t="shared" si="1"/>
        <v xml:space="preserve">BM MG11 _ A _ Examen morphologique direct macro– et microscopique à l'état frais et/ou après culture, avec ou sans préparation (coloration) _  Qualitatif _  Automatisée _ 2 _ 2 colorateurs Aérospray Gram, Elitech
1 colorateur Borealys Duo GZ Gram/Ziehl, Biocentric
1 colorateur Aérospray Auramine TB, Elitech 
</v>
      </c>
      <c r="R92" s="286"/>
    </row>
    <row r="93" spans="1:18" ht="165.75" x14ac:dyDescent="0.2">
      <c r="A93" s="14" t="s">
        <v>20</v>
      </c>
      <c r="B93" s="24" t="s">
        <v>206</v>
      </c>
      <c r="C93" s="24" t="s">
        <v>69</v>
      </c>
      <c r="D93" s="19" t="s">
        <v>213</v>
      </c>
      <c r="E93" s="24" t="s">
        <v>236</v>
      </c>
      <c r="F93" s="24" t="s">
        <v>237</v>
      </c>
      <c r="G93" s="24" t="s">
        <v>238</v>
      </c>
      <c r="H93" s="24" t="s">
        <v>170</v>
      </c>
      <c r="I93" s="24" t="s">
        <v>28</v>
      </c>
      <c r="J93" s="16">
        <v>1</v>
      </c>
      <c r="K93" s="24" t="s">
        <v>239</v>
      </c>
      <c r="L93" s="287" t="s">
        <v>1663</v>
      </c>
      <c r="M93" s="29"/>
      <c r="N93" s="32" t="s">
        <v>240</v>
      </c>
      <c r="O93" s="16" t="s">
        <v>31</v>
      </c>
      <c r="P93" s="27">
        <v>90</v>
      </c>
      <c r="Q93" s="18" t="str">
        <f t="shared" si="1"/>
        <v>BM MG12 _ A _ Inhibition de croissance en milieu liquide en présence d'une certaine concentration d'antibiotique(s), après incubation.
 _ Qualitatif _ Automatisée _ 1 _ Automate Bactec MGIT (Becton Dickinson)</v>
      </c>
      <c r="R93" s="286"/>
    </row>
    <row r="94" spans="1:18" ht="165.75" x14ac:dyDescent="0.2">
      <c r="A94" s="14" t="s">
        <v>20</v>
      </c>
      <c r="B94" s="24" t="s">
        <v>206</v>
      </c>
      <c r="C94" s="24" t="s">
        <v>69</v>
      </c>
      <c r="D94" s="19" t="s">
        <v>213</v>
      </c>
      <c r="E94" s="38" t="s">
        <v>241</v>
      </c>
      <c r="F94" s="24" t="s">
        <v>242</v>
      </c>
      <c r="G94" s="24" t="s">
        <v>238</v>
      </c>
      <c r="H94" s="24" t="s">
        <v>170</v>
      </c>
      <c r="I94" s="24" t="s">
        <v>28</v>
      </c>
      <c r="J94" s="16">
        <v>1</v>
      </c>
      <c r="K94" s="24" t="s">
        <v>224</v>
      </c>
      <c r="L94" s="287" t="s">
        <v>1664</v>
      </c>
      <c r="M94" s="29"/>
      <c r="N94" s="32" t="s">
        <v>240</v>
      </c>
      <c r="O94" s="16" t="s">
        <v>31</v>
      </c>
      <c r="P94" s="27"/>
      <c r="Q94" s="18" t="str">
        <f t="shared" si="1"/>
        <v>BM MG12 _ A _ Inhibition de croissance en milieu liquide en présence d'une certaine concentration d'antibiotique(s), après incubation.
 _ Qualitatif _ Automatisée _ 1 _ Automate Vitek2 (Bio Mérieux)</v>
      </c>
      <c r="R94" s="286"/>
    </row>
    <row r="95" spans="1:18" ht="204" x14ac:dyDescent="0.2">
      <c r="A95" s="14" t="s">
        <v>20</v>
      </c>
      <c r="B95" s="24" t="s">
        <v>206</v>
      </c>
      <c r="C95" s="24" t="s">
        <v>69</v>
      </c>
      <c r="D95" s="19" t="s">
        <v>213</v>
      </c>
      <c r="E95" s="38" t="s">
        <v>243</v>
      </c>
      <c r="F95" s="24" t="s">
        <v>242</v>
      </c>
      <c r="G95" s="24" t="s">
        <v>244</v>
      </c>
      <c r="H95" s="24" t="s">
        <v>170</v>
      </c>
      <c r="I95" s="24" t="s">
        <v>171</v>
      </c>
      <c r="J95" s="16"/>
      <c r="K95" s="24"/>
      <c r="L95" s="274" t="s">
        <v>1665</v>
      </c>
      <c r="M95" s="29"/>
      <c r="N95" s="32" t="s">
        <v>240</v>
      </c>
      <c r="O95" s="16" t="s">
        <v>31</v>
      </c>
      <c r="P95" s="27"/>
      <c r="Q95" s="18" t="str">
        <f t="shared" si="1"/>
        <v xml:space="preserve">BM MG12 _ A _ Méthode de diffusion en gradient de concentration en milieu gélosé.
Inhibition de croissance en présence d'une certaine concentration d'antibiotique(s)après incubation. _ Qualitatif _ Manuelle _  _ </v>
      </c>
      <c r="R95" s="286"/>
    </row>
    <row r="96" spans="1:18" ht="38.25" x14ac:dyDescent="0.2">
      <c r="A96" s="14" t="s">
        <v>20</v>
      </c>
      <c r="B96" s="24" t="s">
        <v>206</v>
      </c>
      <c r="C96" s="24" t="s">
        <v>69</v>
      </c>
      <c r="D96" s="14" t="s">
        <v>213</v>
      </c>
      <c r="E96" s="38" t="s">
        <v>245</v>
      </c>
      <c r="F96" s="24" t="s">
        <v>246</v>
      </c>
      <c r="G96" s="24" t="s">
        <v>247</v>
      </c>
      <c r="H96" s="24" t="s">
        <v>27</v>
      </c>
      <c r="I96" s="24" t="s">
        <v>28</v>
      </c>
      <c r="J96" s="16">
        <v>1</v>
      </c>
      <c r="K96" s="24" t="s">
        <v>248</v>
      </c>
      <c r="L96" s="290" t="s">
        <v>249</v>
      </c>
      <c r="M96" s="29" t="s">
        <v>250</v>
      </c>
      <c r="N96" s="32" t="s">
        <v>251</v>
      </c>
      <c r="O96" s="16" t="s">
        <v>31</v>
      </c>
      <c r="P96" s="289">
        <v>12158</v>
      </c>
      <c r="Q96" s="18" t="str">
        <f t="shared" si="1"/>
        <v>BM MG01 _ A _ Chemiluminescence (CMIA) _ Quantitatif _ Automatisée _ 1 _ Alinity-i (Abbott)</v>
      </c>
      <c r="R96" s="286"/>
    </row>
    <row r="97" spans="1:18" ht="63.75" x14ac:dyDescent="0.2">
      <c r="A97" s="14" t="s">
        <v>20</v>
      </c>
      <c r="B97" s="14" t="s">
        <v>206</v>
      </c>
      <c r="C97" s="14" t="s">
        <v>22</v>
      </c>
      <c r="D97" s="19" t="s">
        <v>213</v>
      </c>
      <c r="E97" s="20" t="s">
        <v>252</v>
      </c>
      <c r="F97" s="14" t="s">
        <v>253</v>
      </c>
      <c r="G97" s="24" t="s">
        <v>254</v>
      </c>
      <c r="H97" s="24" t="s">
        <v>170</v>
      </c>
      <c r="I97" s="24" t="s">
        <v>182</v>
      </c>
      <c r="J97" s="16">
        <v>2</v>
      </c>
      <c r="K97" s="72" t="s">
        <v>255</v>
      </c>
      <c r="L97" s="291" t="s">
        <v>256</v>
      </c>
      <c r="M97" s="22"/>
      <c r="N97" s="42" t="s">
        <v>257</v>
      </c>
      <c r="O97" s="16" t="s">
        <v>31</v>
      </c>
      <c r="P97" s="27">
        <v>1385</v>
      </c>
      <c r="Q97" s="18" t="str">
        <f t="shared" si="1"/>
        <v xml:space="preserve">BM MG03 _ A _ immunochromatographie et immunofluorescence _ Qualitatif _ Semi-automatisée _ 2 _  Sofia 2 (Ingen) </v>
      </c>
      <c r="R97" s="286"/>
    </row>
    <row r="98" spans="1:18" ht="63.75" x14ac:dyDescent="0.2">
      <c r="A98" s="14" t="s">
        <v>20</v>
      </c>
      <c r="B98" s="14" t="s">
        <v>206</v>
      </c>
      <c r="C98" s="14" t="s">
        <v>22</v>
      </c>
      <c r="D98" s="19" t="s">
        <v>213</v>
      </c>
      <c r="E98" s="14" t="s">
        <v>258</v>
      </c>
      <c r="F98" s="14" t="s">
        <v>259</v>
      </c>
      <c r="G98" s="24" t="s">
        <v>254</v>
      </c>
      <c r="H98" s="24" t="s">
        <v>170</v>
      </c>
      <c r="I98" s="24" t="s">
        <v>182</v>
      </c>
      <c r="J98" s="16">
        <v>2</v>
      </c>
      <c r="K98" s="72" t="s">
        <v>255</v>
      </c>
      <c r="L98" s="292" t="s">
        <v>260</v>
      </c>
      <c r="M98" s="22"/>
      <c r="N98" s="42" t="s">
        <v>257</v>
      </c>
      <c r="O98" s="16" t="s">
        <v>31</v>
      </c>
      <c r="P98" s="27">
        <v>1208</v>
      </c>
      <c r="Q98" s="18" t="str">
        <f t="shared" si="1"/>
        <v xml:space="preserve">BM MG03 _ A _ immunochromatographie et immunofluorescence _ Qualitatif _ Semi-automatisée _ 2 _  Sofia 2 (Ingen) </v>
      </c>
      <c r="R98" s="286"/>
    </row>
    <row r="99" spans="1:18" ht="38.25" x14ac:dyDescent="0.2">
      <c r="A99" s="14" t="s">
        <v>20</v>
      </c>
      <c r="B99" s="24" t="s">
        <v>206</v>
      </c>
      <c r="C99" s="24" t="s">
        <v>69</v>
      </c>
      <c r="D99" s="14" t="s">
        <v>213</v>
      </c>
      <c r="E99" s="38" t="s">
        <v>261</v>
      </c>
      <c r="F99" s="24" t="s">
        <v>253</v>
      </c>
      <c r="G99" s="24" t="s">
        <v>262</v>
      </c>
      <c r="H99" s="24" t="s">
        <v>27</v>
      </c>
      <c r="I99" s="24" t="s">
        <v>28</v>
      </c>
      <c r="J99" s="16">
        <v>1</v>
      </c>
      <c r="K99" s="24" t="s">
        <v>263</v>
      </c>
      <c r="L99" s="24" t="s">
        <v>264</v>
      </c>
      <c r="M99" s="29" t="s">
        <v>1504</v>
      </c>
      <c r="N99" s="32" t="s">
        <v>265</v>
      </c>
      <c r="O99" s="16" t="s">
        <v>31</v>
      </c>
      <c r="P99" s="27">
        <v>32243</v>
      </c>
      <c r="Q99" s="18" t="str">
        <f t="shared" si="1"/>
        <v>BM MG07 _ A _ Cytométrie en flux _ Quantitatif _ Automatisée _ 1 _ Automate UF-4000 (BIOMERIEUX/Sysmex)</v>
      </c>
      <c r="R99" s="286"/>
    </row>
    <row r="100" spans="1:18" ht="89.25" x14ac:dyDescent="0.2">
      <c r="A100" s="14" t="s">
        <v>20</v>
      </c>
      <c r="B100" s="24" t="s">
        <v>206</v>
      </c>
      <c r="C100" s="24" t="s">
        <v>69</v>
      </c>
      <c r="D100" s="14" t="s">
        <v>213</v>
      </c>
      <c r="E100" s="24" t="s">
        <v>266</v>
      </c>
      <c r="F100" s="24" t="s">
        <v>267</v>
      </c>
      <c r="G100" s="24" t="s">
        <v>262</v>
      </c>
      <c r="H100" s="24" t="s">
        <v>27</v>
      </c>
      <c r="I100" s="24" t="s">
        <v>28</v>
      </c>
      <c r="J100" s="16">
        <v>1</v>
      </c>
      <c r="K100" s="24" t="s">
        <v>263</v>
      </c>
      <c r="L100" s="24" t="s">
        <v>268</v>
      </c>
      <c r="M100" s="29" t="s">
        <v>1504</v>
      </c>
      <c r="N100" s="32" t="s">
        <v>265</v>
      </c>
      <c r="O100" s="16" t="s">
        <v>31</v>
      </c>
      <c r="P100" s="27">
        <v>3549</v>
      </c>
      <c r="Q100" s="18" t="str">
        <f t="shared" si="1"/>
        <v>BM MG07 _ A _ Cytométrie en flux _ Quantitatif _ Automatisée _ 1 _ Automate UF-4000 (BIOMERIEUX/Sysmex)</v>
      </c>
      <c r="R100" s="286"/>
    </row>
    <row r="101" spans="1:18" ht="102" x14ac:dyDescent="0.2">
      <c r="A101" s="14" t="s">
        <v>20</v>
      </c>
      <c r="B101" s="24" t="s">
        <v>206</v>
      </c>
      <c r="C101" s="24" t="s">
        <v>69</v>
      </c>
      <c r="D101" s="19" t="s">
        <v>213</v>
      </c>
      <c r="E101" s="38" t="s">
        <v>269</v>
      </c>
      <c r="F101" s="24" t="s">
        <v>270</v>
      </c>
      <c r="G101" s="24" t="s">
        <v>271</v>
      </c>
      <c r="H101" s="24" t="s">
        <v>170</v>
      </c>
      <c r="I101" s="24" t="s">
        <v>28</v>
      </c>
      <c r="J101" s="16">
        <v>1</v>
      </c>
      <c r="K101" s="24" t="s">
        <v>239</v>
      </c>
      <c r="L101" s="274" t="s">
        <v>1666</v>
      </c>
      <c r="M101" s="29" t="s">
        <v>1504</v>
      </c>
      <c r="N101" s="32" t="s">
        <v>272</v>
      </c>
      <c r="O101" s="16" t="s">
        <v>31</v>
      </c>
      <c r="P101" s="289">
        <v>5597</v>
      </c>
      <c r="Q101" s="18" t="str">
        <f t="shared" si="1"/>
        <v>BM MG08 _ A _ Analyse chimique après culture par fluorescence _ Qualitatif _ Automatisée _ 1 _ Automate Bactec MGIT (Becton Dickinson)</v>
      </c>
      <c r="R101" s="286"/>
    </row>
    <row r="102" spans="1:18" ht="89.25" x14ac:dyDescent="0.2">
      <c r="A102" s="14" t="s">
        <v>20</v>
      </c>
      <c r="B102" s="24" t="s">
        <v>206</v>
      </c>
      <c r="C102" s="24" t="s">
        <v>69</v>
      </c>
      <c r="D102" s="19" t="s">
        <v>213</v>
      </c>
      <c r="E102" s="38" t="s">
        <v>273</v>
      </c>
      <c r="F102" s="24" t="s">
        <v>274</v>
      </c>
      <c r="G102" s="24" t="s">
        <v>275</v>
      </c>
      <c r="H102" s="24" t="s">
        <v>170</v>
      </c>
      <c r="I102" s="24" t="s">
        <v>28</v>
      </c>
      <c r="J102" s="16" t="s">
        <v>276</v>
      </c>
      <c r="K102" s="24" t="s">
        <v>277</v>
      </c>
      <c r="L102" s="274" t="s">
        <v>1667</v>
      </c>
      <c r="M102" s="29" t="s">
        <v>1504</v>
      </c>
      <c r="N102" s="32" t="s">
        <v>272</v>
      </c>
      <c r="O102" s="16" t="s">
        <v>31</v>
      </c>
      <c r="P102" s="289">
        <v>59709</v>
      </c>
      <c r="Q102" s="18" t="str">
        <f t="shared" si="1"/>
        <v>BM MG08 _ A _ Fluorométrie _ Qualitatif _ Automatisée _ 5 modules  _ Automate Bactec 3D FX  (Becton, Dickinson)</v>
      </c>
      <c r="R102" s="286"/>
    </row>
    <row r="103" spans="1:18" ht="102" x14ac:dyDescent="0.2">
      <c r="A103" s="14" t="s">
        <v>20</v>
      </c>
      <c r="B103" s="148" t="s">
        <v>206</v>
      </c>
      <c r="C103" s="153" t="s">
        <v>22</v>
      </c>
      <c r="D103" s="148" t="s">
        <v>213</v>
      </c>
      <c r="E103" s="151" t="s">
        <v>1319</v>
      </c>
      <c r="F103" s="293" t="s">
        <v>1320</v>
      </c>
      <c r="G103" s="293" t="s">
        <v>1321</v>
      </c>
      <c r="H103" s="293" t="s">
        <v>517</v>
      </c>
      <c r="I103" s="293" t="s">
        <v>1114</v>
      </c>
      <c r="J103" s="293">
        <v>1</v>
      </c>
      <c r="K103" s="293" t="s">
        <v>363</v>
      </c>
      <c r="L103" s="294" t="s">
        <v>1668</v>
      </c>
      <c r="M103" s="293" t="s">
        <v>1491</v>
      </c>
      <c r="N103" s="293" t="s">
        <v>1322</v>
      </c>
      <c r="O103" s="187" t="s">
        <v>31</v>
      </c>
      <c r="P103" s="155">
        <v>3771</v>
      </c>
      <c r="Q103" s="18" t="str">
        <f t="shared" si="1"/>
        <v>BM MG14 _ A _ Recherche d'IFN gamma en réponse à stimulation antigénique par immuno-chimiluminescence _ qualitatif _ automatisée _ 1 _ LIAISON XL</v>
      </c>
      <c r="R103" s="286"/>
    </row>
    <row r="104" spans="1:18" ht="140.25" x14ac:dyDescent="0.2">
      <c r="A104" s="14" t="s">
        <v>20</v>
      </c>
      <c r="B104" s="148" t="s">
        <v>206</v>
      </c>
      <c r="C104" s="153" t="s">
        <v>22</v>
      </c>
      <c r="D104" s="148" t="s">
        <v>207</v>
      </c>
      <c r="E104" s="151" t="s">
        <v>1323</v>
      </c>
      <c r="F104" s="148" t="s">
        <v>1324</v>
      </c>
      <c r="G104" s="148" t="s">
        <v>1325</v>
      </c>
      <c r="H104" s="148" t="s">
        <v>517</v>
      </c>
      <c r="I104" s="148" t="s">
        <v>1114</v>
      </c>
      <c r="J104" s="148">
        <v>1</v>
      </c>
      <c r="K104" s="148" t="s">
        <v>363</v>
      </c>
      <c r="L104" s="173" t="s">
        <v>1669</v>
      </c>
      <c r="M104" s="293" t="s">
        <v>1491</v>
      </c>
      <c r="N104" s="293" t="s">
        <v>1326</v>
      </c>
      <c r="O104" s="154" t="s">
        <v>31</v>
      </c>
      <c r="P104" s="155">
        <v>3025</v>
      </c>
      <c r="Q104" s="18" t="str">
        <f t="shared" si="1"/>
        <v>BM BA01 _ A _ Recherche et identification de toxines et
d’antigènes bactériens par immuno-chimiluminescence
 _ qualitatif _ automatisée _ 1 _ LIAISON XL</v>
      </c>
      <c r="R104" s="286"/>
    </row>
    <row r="105" spans="1:18" ht="89.25" x14ac:dyDescent="0.2">
      <c r="A105" s="14" t="s">
        <v>20</v>
      </c>
      <c r="B105" s="43" t="s">
        <v>21</v>
      </c>
      <c r="C105" s="43" t="s">
        <v>22</v>
      </c>
      <c r="D105" s="44" t="s">
        <v>23</v>
      </c>
      <c r="E105" s="205" t="s">
        <v>278</v>
      </c>
      <c r="F105" s="205" t="s">
        <v>25</v>
      </c>
      <c r="G105" s="206" t="s">
        <v>279</v>
      </c>
      <c r="H105" s="206" t="s">
        <v>27</v>
      </c>
      <c r="I105" s="206" t="s">
        <v>28</v>
      </c>
      <c r="J105" s="207">
        <v>1</v>
      </c>
      <c r="K105" s="206" t="s">
        <v>280</v>
      </c>
      <c r="L105" s="206" t="s">
        <v>281</v>
      </c>
      <c r="M105" s="265"/>
      <c r="N105" s="205" t="s">
        <v>282</v>
      </c>
      <c r="O105" s="207" t="s">
        <v>184</v>
      </c>
      <c r="P105" s="208">
        <v>448</v>
      </c>
      <c r="Q105" s="18" t="str">
        <f t="shared" si="1"/>
        <v>BM BB02 _ B _ Chromatographie liquide couplée à la spectrométrie de masse en tandem LC-MS/MS _ Quantitatif _ Automatisée _ 1 _ spectromètre de masse LCMS 8060 Shimadzu couplé à une chaîne HPLC Nexera X2 Shimadzu</v>
      </c>
      <c r="R105" s="286"/>
    </row>
    <row r="106" spans="1:18" ht="89.25" x14ac:dyDescent="0.2">
      <c r="A106" s="14" t="s">
        <v>20</v>
      </c>
      <c r="B106" s="43" t="s">
        <v>21</v>
      </c>
      <c r="C106" s="43" t="s">
        <v>22</v>
      </c>
      <c r="D106" s="44" t="s">
        <v>23</v>
      </c>
      <c r="E106" s="209" t="s">
        <v>283</v>
      </c>
      <c r="F106" s="205" t="s">
        <v>25</v>
      </c>
      <c r="G106" s="206" t="s">
        <v>279</v>
      </c>
      <c r="H106" s="206" t="s">
        <v>27</v>
      </c>
      <c r="I106" s="206" t="s">
        <v>28</v>
      </c>
      <c r="J106" s="207">
        <v>1</v>
      </c>
      <c r="K106" s="206" t="s">
        <v>280</v>
      </c>
      <c r="L106" s="206" t="s">
        <v>284</v>
      </c>
      <c r="M106" s="265"/>
      <c r="N106" s="205" t="s">
        <v>282</v>
      </c>
      <c r="O106" s="207" t="s">
        <v>184</v>
      </c>
      <c r="P106" s="208">
        <v>2085</v>
      </c>
      <c r="Q106" s="18" t="str">
        <f t="shared" si="1"/>
        <v>BM BB02 _ B _ Chromatographie liquide couplée à la spectrométrie de masse en tandem LC-MS/MS _ Quantitatif _ Automatisée _ 1 _ spectromètre de masse LCMS 8060 Shimadzu couplé à une chaîne HPLC Nexera X2 Shimadzu</v>
      </c>
      <c r="R106" s="286"/>
    </row>
    <row r="107" spans="1:18" ht="89.25" x14ac:dyDescent="0.2">
      <c r="A107" s="14" t="s">
        <v>20</v>
      </c>
      <c r="B107" s="43" t="s">
        <v>21</v>
      </c>
      <c r="C107" s="43" t="s">
        <v>22</v>
      </c>
      <c r="D107" s="44" t="s">
        <v>23</v>
      </c>
      <c r="E107" s="205" t="s">
        <v>285</v>
      </c>
      <c r="F107" s="205" t="s">
        <v>25</v>
      </c>
      <c r="G107" s="206" t="s">
        <v>279</v>
      </c>
      <c r="H107" s="206" t="s">
        <v>27</v>
      </c>
      <c r="I107" s="206" t="s">
        <v>28</v>
      </c>
      <c r="J107" s="207">
        <v>1</v>
      </c>
      <c r="K107" s="206" t="s">
        <v>280</v>
      </c>
      <c r="L107" s="206" t="s">
        <v>286</v>
      </c>
      <c r="M107" s="265"/>
      <c r="N107" s="205" t="s">
        <v>282</v>
      </c>
      <c r="O107" s="207" t="s">
        <v>184</v>
      </c>
      <c r="P107" s="208">
        <v>839</v>
      </c>
      <c r="Q107" s="18" t="str">
        <f t="shared" si="1"/>
        <v>BM BB02 _ B _ Chromatographie liquide couplée à la spectrométrie de masse en tandem LC-MS/MS _ Quantitatif _ Automatisée _ 1 _ spectromètre de masse LCMS 8060 Shimadzu couplé à une chaîne HPLC Nexera X2 Shimadzu</v>
      </c>
      <c r="R107" s="286"/>
    </row>
    <row r="108" spans="1:18" ht="89.25" x14ac:dyDescent="0.2">
      <c r="A108" s="14" t="s">
        <v>20</v>
      </c>
      <c r="B108" s="14" t="s">
        <v>21</v>
      </c>
      <c r="C108" s="45" t="s">
        <v>22</v>
      </c>
      <c r="D108" s="45" t="s">
        <v>23</v>
      </c>
      <c r="E108" s="204" t="s">
        <v>287</v>
      </c>
      <c r="F108" s="204" t="s">
        <v>288</v>
      </c>
      <c r="G108" s="204" t="s">
        <v>279</v>
      </c>
      <c r="H108" s="197" t="s">
        <v>27</v>
      </c>
      <c r="I108" s="197" t="s">
        <v>28</v>
      </c>
      <c r="J108" s="198">
        <v>1</v>
      </c>
      <c r="K108" s="205" t="s">
        <v>289</v>
      </c>
      <c r="L108" s="205" t="s">
        <v>290</v>
      </c>
      <c r="M108" s="198"/>
      <c r="N108" s="204" t="s">
        <v>282</v>
      </c>
      <c r="O108" s="198" t="s">
        <v>184</v>
      </c>
      <c r="P108" s="208">
        <v>600</v>
      </c>
      <c r="Q108" s="18" t="str">
        <f t="shared" si="1"/>
        <v xml:space="preserve">BM BB02 _ B _ Chromatographie liquide couplée à la spectrométrie de masse en tandem LC-MS/MS _ Quantitatif _ Automatisée _ 1 _ spectromètre de masse LCMS 8060 Shimadzu couplé à une chaîne HPLC Nexera X2 Shimadzu </v>
      </c>
      <c r="R108" s="286"/>
    </row>
    <row r="109" spans="1:18" ht="89.25" x14ac:dyDescent="0.2">
      <c r="A109" s="14" t="s">
        <v>20</v>
      </c>
      <c r="B109" s="14" t="s">
        <v>21</v>
      </c>
      <c r="C109" s="45" t="s">
        <v>22</v>
      </c>
      <c r="D109" s="45" t="s">
        <v>23</v>
      </c>
      <c r="E109" s="204" t="s">
        <v>291</v>
      </c>
      <c r="F109" s="204" t="s">
        <v>292</v>
      </c>
      <c r="G109" s="204" t="s">
        <v>279</v>
      </c>
      <c r="H109" s="197" t="s">
        <v>27</v>
      </c>
      <c r="I109" s="197" t="s">
        <v>28</v>
      </c>
      <c r="J109" s="198">
        <v>1</v>
      </c>
      <c r="K109" s="205" t="s">
        <v>289</v>
      </c>
      <c r="L109" s="205" t="s">
        <v>290</v>
      </c>
      <c r="M109" s="198"/>
      <c r="N109" s="204" t="s">
        <v>282</v>
      </c>
      <c r="O109" s="198" t="s">
        <v>184</v>
      </c>
      <c r="P109" s="208">
        <v>628</v>
      </c>
      <c r="Q109" s="18" t="str">
        <f t="shared" si="1"/>
        <v xml:space="preserve">BM BB02 _ B _ Chromatographie liquide couplée à la spectrométrie de masse en tandem LC-MS/MS _ Quantitatif _ Automatisée _ 1 _ spectromètre de masse LCMS 8060 Shimadzu couplé à une chaîne HPLC Nexera X2 Shimadzu </v>
      </c>
      <c r="R109" s="286"/>
    </row>
    <row r="110" spans="1:18" ht="51" x14ac:dyDescent="0.2">
      <c r="A110" s="14" t="s">
        <v>20</v>
      </c>
      <c r="B110" s="19" t="s">
        <v>21</v>
      </c>
      <c r="C110" s="19" t="s">
        <v>22</v>
      </c>
      <c r="D110" s="15" t="s">
        <v>23</v>
      </c>
      <c r="E110" s="197" t="s">
        <v>293</v>
      </c>
      <c r="F110" s="197" t="s">
        <v>25</v>
      </c>
      <c r="G110" s="201" t="s">
        <v>36</v>
      </c>
      <c r="H110" s="201" t="s">
        <v>27</v>
      </c>
      <c r="I110" s="201" t="s">
        <v>28</v>
      </c>
      <c r="J110" s="198">
        <v>1</v>
      </c>
      <c r="K110" s="246" t="s">
        <v>1563</v>
      </c>
      <c r="L110" s="246" t="s">
        <v>294</v>
      </c>
      <c r="M110" s="203" t="s">
        <v>1564</v>
      </c>
      <c r="N110" s="197" t="s">
        <v>30</v>
      </c>
      <c r="O110" s="198" t="s">
        <v>31</v>
      </c>
      <c r="P110" s="208">
        <v>3124</v>
      </c>
      <c r="Q110" s="18" t="str">
        <f t="shared" si="1"/>
        <v xml:space="preserve">BM BB01 _ A _ Electrochimiluminescence _ Quantitatif _ Automatisée _ 1 _ Cobas Pro Roche
</v>
      </c>
      <c r="R110" s="286"/>
    </row>
    <row r="111" spans="1:18" ht="51" x14ac:dyDescent="0.2">
      <c r="A111" s="14" t="s">
        <v>20</v>
      </c>
      <c r="B111" s="19" t="s">
        <v>21</v>
      </c>
      <c r="C111" s="14" t="s">
        <v>22</v>
      </c>
      <c r="D111" s="15" t="s">
        <v>23</v>
      </c>
      <c r="E111" s="197" t="s">
        <v>295</v>
      </c>
      <c r="F111" s="197" t="s">
        <v>25</v>
      </c>
      <c r="G111" s="197" t="s">
        <v>36</v>
      </c>
      <c r="H111" s="197" t="s">
        <v>27</v>
      </c>
      <c r="I111" s="197" t="s">
        <v>28</v>
      </c>
      <c r="J111" s="198">
        <v>1</v>
      </c>
      <c r="K111" s="246" t="s">
        <v>1563</v>
      </c>
      <c r="L111" s="199" t="s">
        <v>296</v>
      </c>
      <c r="M111" s="203" t="s">
        <v>1564</v>
      </c>
      <c r="N111" s="197" t="s">
        <v>30</v>
      </c>
      <c r="O111" s="198" t="s">
        <v>31</v>
      </c>
      <c r="P111" s="208">
        <v>2728</v>
      </c>
      <c r="Q111" s="18" t="str">
        <f t="shared" si="1"/>
        <v xml:space="preserve">BM BB01 _ A _ Electrochimiluminescence _ Quantitatif _ Automatisée _ 1 _ Cobas Pro Roche
</v>
      </c>
      <c r="R111" s="286"/>
    </row>
    <row r="112" spans="1:18" ht="51" x14ac:dyDescent="0.2">
      <c r="A112" s="14" t="s">
        <v>20</v>
      </c>
      <c r="B112" s="19" t="s">
        <v>21</v>
      </c>
      <c r="C112" s="22" t="s">
        <v>69</v>
      </c>
      <c r="D112" s="15" t="s">
        <v>23</v>
      </c>
      <c r="E112" s="202" t="s">
        <v>297</v>
      </c>
      <c r="F112" s="202" t="s">
        <v>25</v>
      </c>
      <c r="G112" s="202" t="s">
        <v>298</v>
      </c>
      <c r="H112" s="202" t="s">
        <v>27</v>
      </c>
      <c r="I112" s="202" t="s">
        <v>28</v>
      </c>
      <c r="J112" s="198">
        <v>1</v>
      </c>
      <c r="K112" s="202" t="s">
        <v>299</v>
      </c>
      <c r="L112" s="202" t="s">
        <v>300</v>
      </c>
      <c r="M112" s="266"/>
      <c r="N112" s="197" t="s">
        <v>30</v>
      </c>
      <c r="O112" s="198" t="s">
        <v>31</v>
      </c>
      <c r="P112" s="208">
        <v>7599</v>
      </c>
      <c r="Q112" s="18" t="str">
        <f t="shared" si="1"/>
        <v>BM BB01 _ A _ Immunonéphélémétrie _ Quantitatif _ Automatisée _ 1 _ Optilite de The Binding Site</v>
      </c>
      <c r="R112" s="286"/>
    </row>
    <row r="113" spans="1:18" ht="51" x14ac:dyDescent="0.2">
      <c r="A113" s="14" t="s">
        <v>20</v>
      </c>
      <c r="B113" s="19" t="s">
        <v>21</v>
      </c>
      <c r="C113" s="22" t="s">
        <v>69</v>
      </c>
      <c r="D113" s="15" t="s">
        <v>23</v>
      </c>
      <c r="E113" s="202" t="s">
        <v>301</v>
      </c>
      <c r="F113" s="202" t="s">
        <v>25</v>
      </c>
      <c r="G113" s="202" t="s">
        <v>298</v>
      </c>
      <c r="H113" s="202" t="s">
        <v>27</v>
      </c>
      <c r="I113" s="202" t="s">
        <v>28</v>
      </c>
      <c r="J113" s="198">
        <v>1</v>
      </c>
      <c r="K113" s="202" t="s">
        <v>299</v>
      </c>
      <c r="L113" s="202" t="s">
        <v>302</v>
      </c>
      <c r="M113" s="266"/>
      <c r="N113" s="197" t="s">
        <v>30</v>
      </c>
      <c r="O113" s="198" t="s">
        <v>31</v>
      </c>
      <c r="P113" s="208">
        <v>6822</v>
      </c>
      <c r="Q113" s="18" t="str">
        <f t="shared" si="1"/>
        <v>BM BB01 _ A _ Immunonéphélémétrie _ Quantitatif _ Automatisée _ 1 _ Optilite de The Binding Site</v>
      </c>
      <c r="R113" s="286"/>
    </row>
    <row r="114" spans="1:18" ht="51" x14ac:dyDescent="0.2">
      <c r="A114" s="14" t="s">
        <v>20</v>
      </c>
      <c r="B114" s="19" t="s">
        <v>21</v>
      </c>
      <c r="C114" s="22" t="s">
        <v>69</v>
      </c>
      <c r="D114" s="15" t="s">
        <v>23</v>
      </c>
      <c r="E114" s="202" t="s">
        <v>303</v>
      </c>
      <c r="F114" s="202" t="s">
        <v>25</v>
      </c>
      <c r="G114" s="202" t="s">
        <v>298</v>
      </c>
      <c r="H114" s="202" t="s">
        <v>27</v>
      </c>
      <c r="I114" s="202" t="s">
        <v>28</v>
      </c>
      <c r="J114" s="198">
        <v>1</v>
      </c>
      <c r="K114" s="202" t="s">
        <v>299</v>
      </c>
      <c r="L114" s="202" t="s">
        <v>304</v>
      </c>
      <c r="M114" s="266"/>
      <c r="N114" s="197" t="s">
        <v>30</v>
      </c>
      <c r="O114" s="198" t="s">
        <v>31</v>
      </c>
      <c r="P114" s="208">
        <v>7504</v>
      </c>
      <c r="Q114" s="18" t="str">
        <f t="shared" si="1"/>
        <v>BM BB01 _ A _ Immunonéphélémétrie _ Quantitatif _ Automatisée _ 1 _ Optilite de The Binding Site</v>
      </c>
      <c r="R114" s="286"/>
    </row>
    <row r="115" spans="1:18" ht="51" x14ac:dyDescent="0.2">
      <c r="A115" s="14" t="s">
        <v>20</v>
      </c>
      <c r="B115" s="19" t="s">
        <v>21</v>
      </c>
      <c r="C115" s="22" t="s">
        <v>69</v>
      </c>
      <c r="D115" s="15" t="s">
        <v>23</v>
      </c>
      <c r="E115" s="202" t="s">
        <v>305</v>
      </c>
      <c r="F115" s="202" t="s">
        <v>25</v>
      </c>
      <c r="G115" s="202" t="s">
        <v>298</v>
      </c>
      <c r="H115" s="202" t="s">
        <v>27</v>
      </c>
      <c r="I115" s="202" t="s">
        <v>28</v>
      </c>
      <c r="J115" s="198">
        <v>1</v>
      </c>
      <c r="K115" s="202" t="s">
        <v>299</v>
      </c>
      <c r="L115" s="202" t="s">
        <v>306</v>
      </c>
      <c r="M115" s="266"/>
      <c r="N115" s="197" t="s">
        <v>30</v>
      </c>
      <c r="O115" s="198" t="s">
        <v>31</v>
      </c>
      <c r="P115" s="208">
        <v>28527</v>
      </c>
      <c r="Q115" s="18" t="str">
        <f t="shared" si="1"/>
        <v>BM BB01 _ A _ Immunonéphélémétrie _ Quantitatif _ Automatisée _ 1 _ Optilite de The Binding Site</v>
      </c>
      <c r="R115" s="286"/>
    </row>
    <row r="116" spans="1:18" ht="51" x14ac:dyDescent="0.2">
      <c r="A116" s="14" t="s">
        <v>20</v>
      </c>
      <c r="B116" s="14" t="s">
        <v>21</v>
      </c>
      <c r="C116" s="14" t="s">
        <v>69</v>
      </c>
      <c r="D116" s="23" t="s">
        <v>23</v>
      </c>
      <c r="E116" s="197" t="s">
        <v>307</v>
      </c>
      <c r="F116" s="197" t="s">
        <v>25</v>
      </c>
      <c r="G116" s="197" t="s">
        <v>308</v>
      </c>
      <c r="H116" s="197" t="s">
        <v>27</v>
      </c>
      <c r="I116" s="197" t="s">
        <v>28</v>
      </c>
      <c r="J116" s="198">
        <v>1</v>
      </c>
      <c r="K116" s="197" t="s">
        <v>299</v>
      </c>
      <c r="L116" s="197" t="s">
        <v>309</v>
      </c>
      <c r="M116" s="198"/>
      <c r="N116" s="197" t="s">
        <v>30</v>
      </c>
      <c r="O116" s="198" t="s">
        <v>31</v>
      </c>
      <c r="P116" s="208">
        <v>524</v>
      </c>
      <c r="Q116" s="18" t="str">
        <f t="shared" si="1"/>
        <v>BM BB01 _ A _ Immunonéphélémétrie  _ Quantitatif _ Automatisée _ 1 _ Optilite de The Binding Site</v>
      </c>
      <c r="R116" s="286"/>
    </row>
    <row r="117" spans="1:18" ht="51" x14ac:dyDescent="0.2">
      <c r="A117" s="14" t="s">
        <v>20</v>
      </c>
      <c r="B117" s="19" t="s">
        <v>21</v>
      </c>
      <c r="C117" s="14" t="s">
        <v>69</v>
      </c>
      <c r="D117" s="15" t="s">
        <v>23</v>
      </c>
      <c r="E117" s="197" t="s">
        <v>310</v>
      </c>
      <c r="F117" s="197" t="s">
        <v>25</v>
      </c>
      <c r="G117" s="197" t="s">
        <v>36</v>
      </c>
      <c r="H117" s="197" t="s">
        <v>27</v>
      </c>
      <c r="I117" s="197" t="s">
        <v>28</v>
      </c>
      <c r="J117" s="198">
        <v>1</v>
      </c>
      <c r="K117" s="246" t="s">
        <v>1563</v>
      </c>
      <c r="L117" s="199" t="s">
        <v>311</v>
      </c>
      <c r="M117" s="203" t="s">
        <v>1564</v>
      </c>
      <c r="N117" s="197" t="s">
        <v>30</v>
      </c>
      <c r="O117" s="198" t="s">
        <v>31</v>
      </c>
      <c r="P117" s="208">
        <v>111</v>
      </c>
      <c r="Q117" s="18" t="str">
        <f t="shared" si="1"/>
        <v xml:space="preserve">BM BB01 _ A _ Electrochimiluminescence _ Quantitatif _ Automatisée _ 1 _ Cobas Pro Roche
</v>
      </c>
      <c r="R117" s="286"/>
    </row>
    <row r="118" spans="1:18" ht="89.25" x14ac:dyDescent="0.2">
      <c r="A118" s="14" t="s">
        <v>20</v>
      </c>
      <c r="B118" s="14" t="s">
        <v>21</v>
      </c>
      <c r="C118" s="45" t="s">
        <v>22</v>
      </c>
      <c r="D118" s="45" t="s">
        <v>23</v>
      </c>
      <c r="E118" s="204" t="s">
        <v>312</v>
      </c>
      <c r="F118" s="204" t="s">
        <v>25</v>
      </c>
      <c r="G118" s="204" t="s">
        <v>313</v>
      </c>
      <c r="H118" s="197" t="s">
        <v>27</v>
      </c>
      <c r="I118" s="197" t="s">
        <v>28</v>
      </c>
      <c r="J118" s="198">
        <v>1</v>
      </c>
      <c r="K118" s="246" t="s">
        <v>1563</v>
      </c>
      <c r="L118" s="53" t="s">
        <v>314</v>
      </c>
      <c r="M118" s="203" t="s">
        <v>1564</v>
      </c>
      <c r="N118" s="204" t="s">
        <v>30</v>
      </c>
      <c r="O118" s="198" t="s">
        <v>31</v>
      </c>
      <c r="P118" s="208">
        <v>893</v>
      </c>
      <c r="Q118" s="18" t="str">
        <f t="shared" si="1"/>
        <v xml:space="preserve">BM BB01 _ A _ Electrochimiluminescence utilisant deux anticorps monoclonaux spécifiques _ Quantitatif _ Automatisée _ 1 _ Cobas Pro Roche
</v>
      </c>
      <c r="R118" s="286"/>
    </row>
    <row r="119" spans="1:18" ht="63.75" x14ac:dyDescent="0.2">
      <c r="A119" s="14" t="s">
        <v>20</v>
      </c>
      <c r="B119" s="19" t="s">
        <v>21</v>
      </c>
      <c r="C119" s="14" t="s">
        <v>22</v>
      </c>
      <c r="D119" s="15" t="s">
        <v>23</v>
      </c>
      <c r="E119" s="197" t="s">
        <v>315</v>
      </c>
      <c r="F119" s="197" t="s">
        <v>25</v>
      </c>
      <c r="G119" s="197" t="s">
        <v>73</v>
      </c>
      <c r="H119" s="197" t="s">
        <v>27</v>
      </c>
      <c r="I119" s="197" t="s">
        <v>28</v>
      </c>
      <c r="J119" s="198">
        <v>2</v>
      </c>
      <c r="K119" s="247" t="s">
        <v>1563</v>
      </c>
      <c r="L119" s="247" t="s">
        <v>316</v>
      </c>
      <c r="M119" s="276" t="s">
        <v>1634</v>
      </c>
      <c r="N119" s="197" t="s">
        <v>30</v>
      </c>
      <c r="O119" s="198" t="s">
        <v>31</v>
      </c>
      <c r="P119" s="208">
        <v>8519</v>
      </c>
      <c r="Q119" s="18" t="str">
        <f t="shared" si="1"/>
        <v xml:space="preserve">BM BB01 _ A _ Immunoturbidimétrie _ Quantitatif _ Automatisée _ 2 _ Cobas Pro Roche
</v>
      </c>
      <c r="R119" s="286"/>
    </row>
    <row r="120" spans="1:18" ht="51" x14ac:dyDescent="0.2">
      <c r="A120" s="14" t="s">
        <v>20</v>
      </c>
      <c r="B120" s="19" t="s">
        <v>21</v>
      </c>
      <c r="C120" s="19" t="s">
        <v>22</v>
      </c>
      <c r="D120" s="15" t="s">
        <v>23</v>
      </c>
      <c r="E120" s="197" t="s">
        <v>317</v>
      </c>
      <c r="F120" s="197" t="s">
        <v>25</v>
      </c>
      <c r="G120" s="201" t="s">
        <v>36</v>
      </c>
      <c r="H120" s="201" t="s">
        <v>27</v>
      </c>
      <c r="I120" s="201" t="s">
        <v>28</v>
      </c>
      <c r="J120" s="198">
        <v>1</v>
      </c>
      <c r="K120" s="246" t="s">
        <v>1563</v>
      </c>
      <c r="L120" s="246" t="s">
        <v>318</v>
      </c>
      <c r="M120" s="203" t="s">
        <v>1564</v>
      </c>
      <c r="N120" s="197" t="s">
        <v>30</v>
      </c>
      <c r="O120" s="198" t="s">
        <v>31</v>
      </c>
      <c r="P120" s="208">
        <v>6739</v>
      </c>
      <c r="Q120" s="18" t="str">
        <f t="shared" si="1"/>
        <v xml:space="preserve">BM BB01 _ A _ Electrochimiluminescence _ Quantitatif _ Automatisée _ 1 _ Cobas Pro Roche
</v>
      </c>
      <c r="R120" s="286"/>
    </row>
    <row r="121" spans="1:18" ht="51" x14ac:dyDescent="0.2">
      <c r="A121" s="14" t="s">
        <v>20</v>
      </c>
      <c r="B121" s="19" t="s">
        <v>21</v>
      </c>
      <c r="C121" s="19" t="s">
        <v>22</v>
      </c>
      <c r="D121" s="15" t="s">
        <v>23</v>
      </c>
      <c r="E121" s="197" t="s">
        <v>319</v>
      </c>
      <c r="F121" s="197" t="s">
        <v>25</v>
      </c>
      <c r="G121" s="201" t="s">
        <v>36</v>
      </c>
      <c r="H121" s="201" t="s">
        <v>27</v>
      </c>
      <c r="I121" s="201" t="s">
        <v>28</v>
      </c>
      <c r="J121" s="198">
        <v>2</v>
      </c>
      <c r="K121" s="246" t="s">
        <v>1563</v>
      </c>
      <c r="L121" s="246" t="s">
        <v>320</v>
      </c>
      <c r="M121" s="203" t="s">
        <v>1564</v>
      </c>
      <c r="N121" s="197" t="s">
        <v>30</v>
      </c>
      <c r="O121" s="198" t="s">
        <v>31</v>
      </c>
      <c r="P121" s="208">
        <v>6542</v>
      </c>
      <c r="Q121" s="18" t="str">
        <f t="shared" si="1"/>
        <v xml:space="preserve">BM BB01 _ A _ Electrochimiluminescence _ Quantitatif _ Automatisée _ 2 _ Cobas Pro Roche
</v>
      </c>
      <c r="R121" s="286"/>
    </row>
    <row r="122" spans="1:18" ht="63.75" x14ac:dyDescent="0.2">
      <c r="A122" s="14" t="s">
        <v>20</v>
      </c>
      <c r="B122" s="19" t="s">
        <v>21</v>
      </c>
      <c r="C122" s="19" t="s">
        <v>22</v>
      </c>
      <c r="D122" s="15" t="s">
        <v>23</v>
      </c>
      <c r="E122" s="197" t="s">
        <v>321</v>
      </c>
      <c r="F122" s="197" t="s">
        <v>25</v>
      </c>
      <c r="G122" s="201" t="s">
        <v>36</v>
      </c>
      <c r="H122" s="201" t="s">
        <v>27</v>
      </c>
      <c r="I122" s="201" t="s">
        <v>28</v>
      </c>
      <c r="J122" s="198">
        <v>2</v>
      </c>
      <c r="K122" s="275" t="s">
        <v>1563</v>
      </c>
      <c r="L122" s="247" t="s">
        <v>322</v>
      </c>
      <c r="M122" s="276" t="s">
        <v>1634</v>
      </c>
      <c r="N122" s="197" t="s">
        <v>30</v>
      </c>
      <c r="O122" s="198" t="s">
        <v>31</v>
      </c>
      <c r="P122" s="208">
        <v>7971</v>
      </c>
      <c r="Q122" s="18" t="str">
        <f t="shared" si="1"/>
        <v xml:space="preserve">BM BB01 _ A _ Electrochimiluminescence _ Quantitatif _ Automatisée _ 2 _ Cobas Pro Roche
</v>
      </c>
      <c r="R122" s="286"/>
    </row>
    <row r="123" spans="1:18" s="48" customFormat="1" ht="51" x14ac:dyDescent="0.2">
      <c r="A123" s="14" t="s">
        <v>20</v>
      </c>
      <c r="B123" s="19" t="s">
        <v>21</v>
      </c>
      <c r="C123" s="19" t="s">
        <v>22</v>
      </c>
      <c r="D123" s="15" t="s">
        <v>23</v>
      </c>
      <c r="E123" s="197" t="s">
        <v>323</v>
      </c>
      <c r="F123" s="197" t="s">
        <v>25</v>
      </c>
      <c r="G123" s="201" t="s">
        <v>36</v>
      </c>
      <c r="H123" s="201" t="s">
        <v>27</v>
      </c>
      <c r="I123" s="201" t="s">
        <v>28</v>
      </c>
      <c r="J123" s="198">
        <v>1</v>
      </c>
      <c r="K123" s="246" t="s">
        <v>1563</v>
      </c>
      <c r="L123" s="246" t="s">
        <v>324</v>
      </c>
      <c r="M123" s="203" t="s">
        <v>1564</v>
      </c>
      <c r="N123" s="197" t="s">
        <v>30</v>
      </c>
      <c r="O123" s="198" t="s">
        <v>31</v>
      </c>
      <c r="P123" s="208">
        <v>6252</v>
      </c>
      <c r="Q123" s="18" t="str">
        <f t="shared" si="1"/>
        <v xml:space="preserve">BM BB01 _ A _ Electrochimiluminescence _ Quantitatif _ Automatisée _ 1 _ Cobas Pro Roche
</v>
      </c>
      <c r="R123" s="286"/>
    </row>
    <row r="124" spans="1:18" ht="51" x14ac:dyDescent="0.2">
      <c r="A124" s="14" t="s">
        <v>20</v>
      </c>
      <c r="B124" s="19" t="s">
        <v>21</v>
      </c>
      <c r="C124" s="19" t="s">
        <v>22</v>
      </c>
      <c r="D124" s="15" t="s">
        <v>23</v>
      </c>
      <c r="E124" s="197" t="s">
        <v>325</v>
      </c>
      <c r="F124" s="197" t="s">
        <v>25</v>
      </c>
      <c r="G124" s="201" t="s">
        <v>47</v>
      </c>
      <c r="H124" s="201" t="s">
        <v>27</v>
      </c>
      <c r="I124" s="201" t="s">
        <v>28</v>
      </c>
      <c r="J124" s="198">
        <v>2</v>
      </c>
      <c r="K124" s="246" t="s">
        <v>1563</v>
      </c>
      <c r="L124" s="246" t="s">
        <v>327</v>
      </c>
      <c r="M124" s="203" t="s">
        <v>1564</v>
      </c>
      <c r="N124" s="197" t="s">
        <v>30</v>
      </c>
      <c r="O124" s="198" t="s">
        <v>31</v>
      </c>
      <c r="P124" s="208">
        <v>17028</v>
      </c>
      <c r="Q124" s="18" t="str">
        <f t="shared" si="1"/>
        <v xml:space="preserve">BM BB01 _ A _ Colorimétrie enzymatique _ Quantitatif _ Automatisée _ 2 _ Cobas Pro Roche
</v>
      </c>
      <c r="R124" s="251"/>
    </row>
    <row r="125" spans="1:18" ht="51" x14ac:dyDescent="0.2">
      <c r="A125" s="14" t="s">
        <v>20</v>
      </c>
      <c r="B125" s="19" t="s">
        <v>21</v>
      </c>
      <c r="C125" s="14" t="s">
        <v>22</v>
      </c>
      <c r="D125" s="15" t="s">
        <v>23</v>
      </c>
      <c r="E125" s="197" t="s">
        <v>328</v>
      </c>
      <c r="F125" s="197" t="s">
        <v>25</v>
      </c>
      <c r="G125" s="197" t="s">
        <v>36</v>
      </c>
      <c r="H125" s="197" t="s">
        <v>27</v>
      </c>
      <c r="I125" s="197" t="s">
        <v>28</v>
      </c>
      <c r="J125" s="198">
        <v>1</v>
      </c>
      <c r="K125" s="246" t="s">
        <v>1563</v>
      </c>
      <c r="L125" s="199" t="s">
        <v>329</v>
      </c>
      <c r="M125" s="203" t="s">
        <v>1564</v>
      </c>
      <c r="N125" s="197" t="s">
        <v>30</v>
      </c>
      <c r="O125" s="198" t="s">
        <v>31</v>
      </c>
      <c r="P125" s="208">
        <v>1365</v>
      </c>
      <c r="Q125" s="18" t="str">
        <f t="shared" si="1"/>
        <v xml:space="preserve">BM BB01 _ A _ Electrochimiluminescence _ Quantitatif _ Automatisée _ 1 _ Cobas Pro Roche
</v>
      </c>
      <c r="R125" s="286"/>
    </row>
    <row r="126" spans="1:18" ht="51" x14ac:dyDescent="0.2">
      <c r="A126" s="14" t="s">
        <v>20</v>
      </c>
      <c r="B126" s="19" t="s">
        <v>21</v>
      </c>
      <c r="C126" s="14" t="s">
        <v>22</v>
      </c>
      <c r="D126" s="15" t="s">
        <v>23</v>
      </c>
      <c r="E126" s="197" t="s">
        <v>330</v>
      </c>
      <c r="F126" s="197" t="s">
        <v>25</v>
      </c>
      <c r="G126" s="197" t="s">
        <v>36</v>
      </c>
      <c r="H126" s="197" t="s">
        <v>27</v>
      </c>
      <c r="I126" s="197" t="s">
        <v>28</v>
      </c>
      <c r="J126" s="198">
        <v>2</v>
      </c>
      <c r="K126" s="246" t="s">
        <v>1563</v>
      </c>
      <c r="L126" s="199" t="s">
        <v>331</v>
      </c>
      <c r="M126" s="203" t="s">
        <v>1564</v>
      </c>
      <c r="N126" s="197" t="s">
        <v>30</v>
      </c>
      <c r="O126" s="198" t="s">
        <v>31</v>
      </c>
      <c r="P126" s="208">
        <v>7960</v>
      </c>
      <c r="Q126" s="18" t="str">
        <f t="shared" si="1"/>
        <v xml:space="preserve">BM BB01 _ A _ Electrochimiluminescence _ Quantitatif _ Automatisée _ 2 _ Cobas Pro Roche
</v>
      </c>
      <c r="R126" s="286"/>
    </row>
    <row r="127" spans="1:18" ht="51" x14ac:dyDescent="0.2">
      <c r="A127" s="14" t="s">
        <v>20</v>
      </c>
      <c r="B127" s="19" t="s">
        <v>21</v>
      </c>
      <c r="C127" s="14" t="s">
        <v>22</v>
      </c>
      <c r="D127" s="15" t="s">
        <v>23</v>
      </c>
      <c r="E127" s="197" t="s">
        <v>332</v>
      </c>
      <c r="F127" s="197" t="s">
        <v>25</v>
      </c>
      <c r="G127" s="197" t="s">
        <v>36</v>
      </c>
      <c r="H127" s="197" t="s">
        <v>27</v>
      </c>
      <c r="I127" s="197" t="s">
        <v>28</v>
      </c>
      <c r="J127" s="198">
        <v>1</v>
      </c>
      <c r="K127" s="246" t="s">
        <v>1563</v>
      </c>
      <c r="L127" s="199" t="s">
        <v>333</v>
      </c>
      <c r="M127" s="203" t="s">
        <v>1564</v>
      </c>
      <c r="N127" s="197" t="s">
        <v>30</v>
      </c>
      <c r="O127" s="198" t="s">
        <v>31</v>
      </c>
      <c r="P127" s="208">
        <v>2066</v>
      </c>
      <c r="Q127" s="18" t="str">
        <f t="shared" si="1"/>
        <v xml:space="preserve">BM BB01 _ A _ Electrochimiluminescence _ Quantitatif _ Automatisée _ 1 _ Cobas Pro Roche
</v>
      </c>
      <c r="R127" s="286"/>
    </row>
    <row r="128" spans="1:18" ht="51" x14ac:dyDescent="0.2">
      <c r="A128" s="14" t="s">
        <v>20</v>
      </c>
      <c r="B128" s="19" t="s">
        <v>21</v>
      </c>
      <c r="C128" s="14" t="s">
        <v>22</v>
      </c>
      <c r="D128" s="15" t="s">
        <v>23</v>
      </c>
      <c r="E128" s="197" t="s">
        <v>334</v>
      </c>
      <c r="F128" s="197" t="s">
        <v>25</v>
      </c>
      <c r="G128" s="197" t="s">
        <v>36</v>
      </c>
      <c r="H128" s="197" t="s">
        <v>27</v>
      </c>
      <c r="I128" s="197" t="s">
        <v>28</v>
      </c>
      <c r="J128" s="198">
        <v>1</v>
      </c>
      <c r="K128" s="246" t="s">
        <v>1563</v>
      </c>
      <c r="L128" s="199" t="s">
        <v>335</v>
      </c>
      <c r="M128" s="203" t="s">
        <v>1564</v>
      </c>
      <c r="N128" s="197" t="s">
        <v>30</v>
      </c>
      <c r="O128" s="198" t="s">
        <v>31</v>
      </c>
      <c r="P128" s="208">
        <v>1991</v>
      </c>
      <c r="Q128" s="18" t="str">
        <f t="shared" si="1"/>
        <v xml:space="preserve">BM BB01 _ A _ Electrochimiluminescence _ Quantitatif _ Automatisée _ 1 _ Cobas Pro Roche
</v>
      </c>
      <c r="R128" s="286"/>
    </row>
    <row r="129" spans="1:18" ht="51" x14ac:dyDescent="0.2">
      <c r="A129" s="14" t="s">
        <v>20</v>
      </c>
      <c r="B129" s="19" t="s">
        <v>21</v>
      </c>
      <c r="C129" s="14" t="s">
        <v>22</v>
      </c>
      <c r="D129" s="15" t="s">
        <v>23</v>
      </c>
      <c r="E129" s="197" t="s">
        <v>336</v>
      </c>
      <c r="F129" s="197" t="s">
        <v>25</v>
      </c>
      <c r="G129" s="197" t="s">
        <v>36</v>
      </c>
      <c r="H129" s="197" t="s">
        <v>27</v>
      </c>
      <c r="I129" s="197" t="s">
        <v>28</v>
      </c>
      <c r="J129" s="198">
        <v>2</v>
      </c>
      <c r="K129" s="246" t="s">
        <v>1563</v>
      </c>
      <c r="L129" s="199" t="s">
        <v>337</v>
      </c>
      <c r="M129" s="203" t="s">
        <v>1564</v>
      </c>
      <c r="N129" s="197" t="s">
        <v>30</v>
      </c>
      <c r="O129" s="198" t="s">
        <v>31</v>
      </c>
      <c r="P129" s="208">
        <v>10716</v>
      </c>
      <c r="Q129" s="18" t="str">
        <f t="shared" si="1"/>
        <v xml:space="preserve">BM BB01 _ A _ Electrochimiluminescence _ Quantitatif _ Automatisée _ 2 _ Cobas Pro Roche
</v>
      </c>
      <c r="R129" s="286"/>
    </row>
    <row r="130" spans="1:18" ht="51" x14ac:dyDescent="0.2">
      <c r="A130" s="14" t="s">
        <v>20</v>
      </c>
      <c r="B130" s="19" t="s">
        <v>21</v>
      </c>
      <c r="C130" s="22" t="s">
        <v>69</v>
      </c>
      <c r="D130" s="15" t="s">
        <v>23</v>
      </c>
      <c r="E130" s="202" t="s">
        <v>338</v>
      </c>
      <c r="F130" s="202" t="s">
        <v>25</v>
      </c>
      <c r="G130" s="202" t="s">
        <v>36</v>
      </c>
      <c r="H130" s="202" t="s">
        <v>27</v>
      </c>
      <c r="I130" s="202" t="s">
        <v>28</v>
      </c>
      <c r="J130" s="198">
        <v>1</v>
      </c>
      <c r="K130" s="246" t="s">
        <v>1563</v>
      </c>
      <c r="L130" s="247" t="s">
        <v>339</v>
      </c>
      <c r="M130" s="203" t="s">
        <v>1564</v>
      </c>
      <c r="N130" s="197" t="s">
        <v>30</v>
      </c>
      <c r="O130" s="198" t="s">
        <v>31</v>
      </c>
      <c r="P130" s="208">
        <v>1130</v>
      </c>
      <c r="Q130" s="18" t="str">
        <f t="shared" si="1"/>
        <v xml:space="preserve">BM BB01 _ A _ Electrochimiluminescence _ Quantitatif _ Automatisée _ 1 _ Cobas Pro Roche
</v>
      </c>
      <c r="R130" s="286"/>
    </row>
    <row r="131" spans="1:18" ht="51" x14ac:dyDescent="0.2">
      <c r="A131" s="14" t="s">
        <v>20</v>
      </c>
      <c r="B131" s="19" t="s">
        <v>21</v>
      </c>
      <c r="C131" s="22" t="s">
        <v>69</v>
      </c>
      <c r="D131" s="15" t="s">
        <v>23</v>
      </c>
      <c r="E131" s="202" t="s">
        <v>340</v>
      </c>
      <c r="F131" s="202" t="s">
        <v>25</v>
      </c>
      <c r="G131" s="202" t="s">
        <v>50</v>
      </c>
      <c r="H131" s="202" t="s">
        <v>27</v>
      </c>
      <c r="I131" s="202" t="s">
        <v>28</v>
      </c>
      <c r="J131" s="198">
        <v>1</v>
      </c>
      <c r="K131" s="246" t="s">
        <v>1563</v>
      </c>
      <c r="L131" s="247" t="s">
        <v>341</v>
      </c>
      <c r="M131" s="203" t="s">
        <v>1564</v>
      </c>
      <c r="N131" s="197" t="s">
        <v>30</v>
      </c>
      <c r="O131" s="198" t="s">
        <v>31</v>
      </c>
      <c r="P131" s="208">
        <v>20087</v>
      </c>
      <c r="Q131" s="18" t="str">
        <f t="shared" si="1"/>
        <v xml:space="preserve">BM BB01 _ A _ Colorimétrie _ Quantitatif _ Automatisée _ 1 _ Cobas Pro Roche
</v>
      </c>
      <c r="R131" s="286"/>
    </row>
    <row r="132" spans="1:18" ht="51" x14ac:dyDescent="0.2">
      <c r="A132" s="14" t="s">
        <v>20</v>
      </c>
      <c r="B132" s="19" t="s">
        <v>21</v>
      </c>
      <c r="C132" s="22" t="s">
        <v>69</v>
      </c>
      <c r="D132" s="15" t="s">
        <v>23</v>
      </c>
      <c r="E132" s="202" t="s">
        <v>342</v>
      </c>
      <c r="F132" s="202" t="s">
        <v>25</v>
      </c>
      <c r="G132" s="202" t="s">
        <v>343</v>
      </c>
      <c r="H132" s="202" t="s">
        <v>27</v>
      </c>
      <c r="I132" s="202" t="s">
        <v>28</v>
      </c>
      <c r="J132" s="198">
        <v>1</v>
      </c>
      <c r="K132" s="197" t="s">
        <v>299</v>
      </c>
      <c r="L132" s="202" t="s">
        <v>344</v>
      </c>
      <c r="M132" s="266"/>
      <c r="N132" s="197" t="s">
        <v>30</v>
      </c>
      <c r="O132" s="198" t="s">
        <v>31</v>
      </c>
      <c r="P132" s="208">
        <v>2306</v>
      </c>
      <c r="Q132" s="18" t="str">
        <f t="shared" si="1"/>
        <v>BM BB01 _ A _ Turbidimétrie _ Quantitatif _ Automatisée _ 1 _ Optilite de The Binding Site</v>
      </c>
      <c r="R132" s="286"/>
    </row>
    <row r="133" spans="1:18" ht="51" x14ac:dyDescent="0.2">
      <c r="A133" s="14" t="s">
        <v>20</v>
      </c>
      <c r="B133" s="19" t="s">
        <v>21</v>
      </c>
      <c r="C133" s="22" t="s">
        <v>69</v>
      </c>
      <c r="D133" s="15" t="s">
        <v>23</v>
      </c>
      <c r="E133" s="202" t="s">
        <v>345</v>
      </c>
      <c r="F133" s="202" t="s">
        <v>25</v>
      </c>
      <c r="G133" s="202" t="s">
        <v>343</v>
      </c>
      <c r="H133" s="202" t="s">
        <v>27</v>
      </c>
      <c r="I133" s="202" t="s">
        <v>28</v>
      </c>
      <c r="J133" s="198">
        <v>1</v>
      </c>
      <c r="K133" s="197" t="s">
        <v>299</v>
      </c>
      <c r="L133" s="202" t="s">
        <v>346</v>
      </c>
      <c r="M133" s="266"/>
      <c r="N133" s="197" t="s">
        <v>30</v>
      </c>
      <c r="O133" s="198" t="s">
        <v>31</v>
      </c>
      <c r="P133" s="208">
        <v>2459</v>
      </c>
      <c r="Q133" s="18" t="str">
        <f t="shared" si="1"/>
        <v>BM BB01 _ A _ Turbidimétrie _ Quantitatif _ Automatisée _ 1 _ Optilite de The Binding Site</v>
      </c>
      <c r="R133" s="286"/>
    </row>
    <row r="134" spans="1:18" ht="51" x14ac:dyDescent="0.2">
      <c r="A134" s="14" t="s">
        <v>20</v>
      </c>
      <c r="B134" s="19" t="s">
        <v>21</v>
      </c>
      <c r="C134" s="14" t="s">
        <v>69</v>
      </c>
      <c r="D134" s="15" t="s">
        <v>23</v>
      </c>
      <c r="E134" s="197" t="s">
        <v>347</v>
      </c>
      <c r="F134" s="197" t="s">
        <v>25</v>
      </c>
      <c r="G134" s="197" t="s">
        <v>348</v>
      </c>
      <c r="H134" s="197" t="s">
        <v>27</v>
      </c>
      <c r="I134" s="197" t="s">
        <v>28</v>
      </c>
      <c r="J134" s="198">
        <v>1</v>
      </c>
      <c r="K134" s="197" t="s">
        <v>349</v>
      </c>
      <c r="L134" s="197" t="s">
        <v>350</v>
      </c>
      <c r="M134" s="264"/>
      <c r="N134" s="197" t="s">
        <v>30</v>
      </c>
      <c r="O134" s="198" t="s">
        <v>31</v>
      </c>
      <c r="P134" s="49">
        <v>1034</v>
      </c>
      <c r="Q134" s="18" t="str">
        <f t="shared" si="1"/>
        <v xml:space="preserve">BM BB01 _ A _ Immunofluorescence _ Quantitatif _ Automatisée _ 1 _ Automate Kryptor Compact Plus (societé Thermo Scientific) </v>
      </c>
      <c r="R134" s="286"/>
    </row>
    <row r="135" spans="1:18" ht="51" x14ac:dyDescent="0.2">
      <c r="A135" s="14" t="s">
        <v>20</v>
      </c>
      <c r="B135" s="19" t="s">
        <v>21</v>
      </c>
      <c r="C135" s="14" t="s">
        <v>69</v>
      </c>
      <c r="D135" s="15" t="s">
        <v>23</v>
      </c>
      <c r="E135" s="197" t="s">
        <v>351</v>
      </c>
      <c r="F135" s="197" t="s">
        <v>25</v>
      </c>
      <c r="G135" s="197" t="s">
        <v>348</v>
      </c>
      <c r="H135" s="197" t="s">
        <v>27</v>
      </c>
      <c r="I135" s="197" t="s">
        <v>28</v>
      </c>
      <c r="J135" s="198">
        <v>1</v>
      </c>
      <c r="K135" s="197" t="s">
        <v>349</v>
      </c>
      <c r="L135" s="197" t="s">
        <v>352</v>
      </c>
      <c r="M135" s="264"/>
      <c r="N135" s="197" t="s">
        <v>30</v>
      </c>
      <c r="O135" s="198" t="s">
        <v>31</v>
      </c>
      <c r="P135" s="49">
        <v>506</v>
      </c>
      <c r="Q135" s="18" t="str">
        <f t="shared" si="1"/>
        <v xml:space="preserve">BM BB01 _ A _ Immunofluorescence _ Quantitatif _ Automatisée _ 1 _ Automate Kryptor Compact Plus (societé Thermo Scientific) </v>
      </c>
      <c r="R135" s="286"/>
    </row>
    <row r="136" spans="1:18" ht="51" x14ac:dyDescent="0.2">
      <c r="A136" s="14" t="s">
        <v>20</v>
      </c>
      <c r="B136" s="19" t="s">
        <v>21</v>
      </c>
      <c r="C136" s="14" t="s">
        <v>69</v>
      </c>
      <c r="D136" s="15" t="s">
        <v>23</v>
      </c>
      <c r="E136" s="197" t="s">
        <v>353</v>
      </c>
      <c r="F136" s="197" t="s">
        <v>25</v>
      </c>
      <c r="G136" s="197" t="s">
        <v>348</v>
      </c>
      <c r="H136" s="197" t="s">
        <v>27</v>
      </c>
      <c r="I136" s="197" t="s">
        <v>28</v>
      </c>
      <c r="J136" s="198">
        <v>1</v>
      </c>
      <c r="K136" s="197" t="s">
        <v>349</v>
      </c>
      <c r="L136" s="197" t="s">
        <v>354</v>
      </c>
      <c r="M136" s="264"/>
      <c r="N136" s="197" t="s">
        <v>30</v>
      </c>
      <c r="O136" s="198" t="s">
        <v>31</v>
      </c>
      <c r="P136" s="49">
        <v>342</v>
      </c>
      <c r="Q136" s="18" t="str">
        <f t="shared" si="1"/>
        <v xml:space="preserve">BM BB01 _ A _ Immunofluorescence _ Quantitatif _ Automatisée _ 1 _ Automate Kryptor Compact Plus (societé Thermo Scientific) </v>
      </c>
      <c r="R136" s="286"/>
    </row>
    <row r="137" spans="1:18" ht="51" x14ac:dyDescent="0.2">
      <c r="A137" s="14" t="s">
        <v>20</v>
      </c>
      <c r="B137" s="19" t="s">
        <v>21</v>
      </c>
      <c r="C137" s="14" t="s">
        <v>69</v>
      </c>
      <c r="D137" s="15" t="s">
        <v>23</v>
      </c>
      <c r="E137" s="197" t="s">
        <v>355</v>
      </c>
      <c r="F137" s="197" t="s">
        <v>25</v>
      </c>
      <c r="G137" s="197" t="s">
        <v>36</v>
      </c>
      <c r="H137" s="197" t="s">
        <v>27</v>
      </c>
      <c r="I137" s="197" t="s">
        <v>28</v>
      </c>
      <c r="J137" s="198">
        <v>1</v>
      </c>
      <c r="K137" s="246" t="s">
        <v>1563</v>
      </c>
      <c r="L137" s="199" t="s">
        <v>356</v>
      </c>
      <c r="M137" s="203" t="s">
        <v>1564</v>
      </c>
      <c r="N137" s="197" t="s">
        <v>30</v>
      </c>
      <c r="O137" s="198" t="s">
        <v>31</v>
      </c>
      <c r="P137" s="49">
        <v>1266</v>
      </c>
      <c r="Q137" s="18" t="str">
        <f t="shared" si="1"/>
        <v xml:space="preserve">BM BB01 _ A _ Electrochimiluminescence _ Quantitatif _ Automatisée _ 1 _ Cobas Pro Roche
</v>
      </c>
      <c r="R137" s="286"/>
    </row>
    <row r="138" spans="1:18" ht="51" x14ac:dyDescent="0.2">
      <c r="A138" s="14" t="s">
        <v>20</v>
      </c>
      <c r="B138" s="19" t="s">
        <v>21</v>
      </c>
      <c r="C138" s="14" t="s">
        <v>69</v>
      </c>
      <c r="D138" s="15" t="s">
        <v>23</v>
      </c>
      <c r="E138" s="197" t="s">
        <v>357</v>
      </c>
      <c r="F138" s="197" t="s">
        <v>25</v>
      </c>
      <c r="G138" s="197" t="s">
        <v>343</v>
      </c>
      <c r="H138" s="197" t="s">
        <v>27</v>
      </c>
      <c r="I138" s="197" t="s">
        <v>28</v>
      </c>
      <c r="J138" s="198">
        <v>1</v>
      </c>
      <c r="K138" s="197" t="s">
        <v>299</v>
      </c>
      <c r="L138" s="197" t="s">
        <v>358</v>
      </c>
      <c r="M138" s="267"/>
      <c r="N138" s="197" t="s">
        <v>30</v>
      </c>
      <c r="O138" s="198" t="s">
        <v>31</v>
      </c>
      <c r="P138" s="49">
        <v>1536</v>
      </c>
      <c r="Q138" s="18" t="str">
        <f t="shared" si="1"/>
        <v>BM BB01 _ A _ Turbidimétrie _ Quantitatif _ Automatisée _ 1 _ Optilite de The Binding Site</v>
      </c>
      <c r="R138" s="286"/>
    </row>
    <row r="139" spans="1:18" ht="51" x14ac:dyDescent="0.2">
      <c r="A139" s="14" t="s">
        <v>20</v>
      </c>
      <c r="B139" s="19" t="s">
        <v>21</v>
      </c>
      <c r="C139" s="14" t="s">
        <v>69</v>
      </c>
      <c r="D139" s="15" t="s">
        <v>23</v>
      </c>
      <c r="E139" s="197" t="s">
        <v>359</v>
      </c>
      <c r="F139" s="197" t="s">
        <v>25</v>
      </c>
      <c r="G139" s="197" t="s">
        <v>343</v>
      </c>
      <c r="H139" s="197" t="s">
        <v>27</v>
      </c>
      <c r="I139" s="197" t="s">
        <v>28</v>
      </c>
      <c r="J139" s="198">
        <v>1</v>
      </c>
      <c r="K139" s="197" t="s">
        <v>299</v>
      </c>
      <c r="L139" s="197" t="s">
        <v>360</v>
      </c>
      <c r="M139" s="267"/>
      <c r="N139" s="197" t="s">
        <v>30</v>
      </c>
      <c r="O139" s="198" t="s">
        <v>31</v>
      </c>
      <c r="P139" s="49">
        <v>202</v>
      </c>
      <c r="Q139" s="18" t="str">
        <f t="shared" si="1"/>
        <v>BM BB01 _ A _ Turbidimétrie _ Quantitatif _ Automatisée _ 1 _ Optilite de The Binding Site</v>
      </c>
      <c r="R139" s="286"/>
    </row>
    <row r="140" spans="1:18" ht="51" x14ac:dyDescent="0.2">
      <c r="A140" s="14" t="s">
        <v>20</v>
      </c>
      <c r="B140" s="19" t="s">
        <v>21</v>
      </c>
      <c r="C140" s="14" t="s">
        <v>69</v>
      </c>
      <c r="D140" s="15" t="s">
        <v>23</v>
      </c>
      <c r="E140" s="197" t="s">
        <v>361</v>
      </c>
      <c r="F140" s="197" t="s">
        <v>25</v>
      </c>
      <c r="G140" s="197" t="s">
        <v>362</v>
      </c>
      <c r="H140" s="197" t="s">
        <v>27</v>
      </c>
      <c r="I140" s="197" t="s">
        <v>28</v>
      </c>
      <c r="J140" s="198">
        <v>1</v>
      </c>
      <c r="K140" s="246" t="s">
        <v>1563</v>
      </c>
      <c r="L140" s="199" t="s">
        <v>1670</v>
      </c>
      <c r="M140" s="264"/>
      <c r="N140" s="197" t="s">
        <v>30</v>
      </c>
      <c r="O140" s="198" t="s">
        <v>31</v>
      </c>
      <c r="P140" s="49">
        <v>9418</v>
      </c>
      <c r="Q140" s="18" t="str">
        <f t="shared" si="1"/>
        <v xml:space="preserve">BM BB01 _ A _ Chimiluminescence  _ Quantitatif _ Automatisée _ 1 _ Cobas Pro Roche
</v>
      </c>
      <c r="R140" s="286"/>
    </row>
    <row r="141" spans="1:18" ht="51" x14ac:dyDescent="0.2">
      <c r="A141" s="14" t="s">
        <v>20</v>
      </c>
      <c r="B141" s="19" t="s">
        <v>21</v>
      </c>
      <c r="C141" s="14" t="s">
        <v>69</v>
      </c>
      <c r="D141" s="15" t="s">
        <v>23</v>
      </c>
      <c r="E141" s="197" t="s">
        <v>364</v>
      </c>
      <c r="F141" s="197" t="s">
        <v>25</v>
      </c>
      <c r="G141" s="197" t="s">
        <v>362</v>
      </c>
      <c r="H141" s="197" t="s">
        <v>27</v>
      </c>
      <c r="I141" s="197" t="s">
        <v>28</v>
      </c>
      <c r="J141" s="198">
        <v>1</v>
      </c>
      <c r="K141" s="246" t="s">
        <v>1563</v>
      </c>
      <c r="L141" s="199" t="s">
        <v>1671</v>
      </c>
      <c r="M141" s="264"/>
      <c r="N141" s="197" t="s">
        <v>30</v>
      </c>
      <c r="O141" s="198" t="s">
        <v>31</v>
      </c>
      <c r="P141" s="49">
        <v>5303</v>
      </c>
      <c r="Q141" s="18" t="str">
        <f t="shared" si="1"/>
        <v xml:space="preserve">BM BB01 _ A _ Chimiluminescence  _ Quantitatif _ Automatisée _ 1 _ Cobas Pro Roche
</v>
      </c>
      <c r="R141" s="286"/>
    </row>
    <row r="142" spans="1:18" ht="51" x14ac:dyDescent="0.2">
      <c r="A142" s="14" t="s">
        <v>20</v>
      </c>
      <c r="B142" s="14" t="s">
        <v>21</v>
      </c>
      <c r="C142" s="14" t="s">
        <v>69</v>
      </c>
      <c r="D142" s="15" t="s">
        <v>23</v>
      </c>
      <c r="E142" s="197" t="s">
        <v>365</v>
      </c>
      <c r="F142" s="197" t="s">
        <v>25</v>
      </c>
      <c r="G142" s="197" t="s">
        <v>36</v>
      </c>
      <c r="H142" s="197" t="s">
        <v>27</v>
      </c>
      <c r="I142" s="197" t="s">
        <v>28</v>
      </c>
      <c r="J142" s="198">
        <v>1</v>
      </c>
      <c r="K142" s="246" t="s">
        <v>1563</v>
      </c>
      <c r="L142" s="199" t="s">
        <v>29</v>
      </c>
      <c r="M142" s="203" t="s">
        <v>1564</v>
      </c>
      <c r="N142" s="197" t="s">
        <v>30</v>
      </c>
      <c r="O142" s="198" t="s">
        <v>31</v>
      </c>
      <c r="P142" s="49">
        <v>31</v>
      </c>
      <c r="Q142" s="18" t="str">
        <f t="shared" si="1"/>
        <v xml:space="preserve">BM BB01 _ A _ Electrochimiluminescence _ Quantitatif _ Automatisée _ 1 _ Cobas Pro Roche
</v>
      </c>
      <c r="R142" s="286"/>
    </row>
    <row r="143" spans="1:18" ht="51" x14ac:dyDescent="0.2">
      <c r="A143" s="14" t="s">
        <v>20</v>
      </c>
      <c r="B143" s="19" t="s">
        <v>21</v>
      </c>
      <c r="C143" s="14" t="s">
        <v>69</v>
      </c>
      <c r="D143" s="15" t="s">
        <v>23</v>
      </c>
      <c r="E143" s="197" t="s">
        <v>366</v>
      </c>
      <c r="F143" s="197" t="s">
        <v>25</v>
      </c>
      <c r="G143" s="197" t="s">
        <v>36</v>
      </c>
      <c r="H143" s="197" t="s">
        <v>27</v>
      </c>
      <c r="I143" s="197" t="s">
        <v>28</v>
      </c>
      <c r="J143" s="198">
        <v>1</v>
      </c>
      <c r="K143" s="246" t="s">
        <v>1563</v>
      </c>
      <c r="L143" s="199" t="s">
        <v>367</v>
      </c>
      <c r="M143" s="203" t="s">
        <v>1564</v>
      </c>
      <c r="N143" s="197" t="s">
        <v>30</v>
      </c>
      <c r="O143" s="198" t="s">
        <v>31</v>
      </c>
      <c r="P143" s="49">
        <v>147</v>
      </c>
      <c r="Q143" s="18" t="str">
        <f t="shared" si="1"/>
        <v xml:space="preserve">BM BB01 _ A _ Electrochimiluminescence _ Quantitatif _ Automatisée _ 1 _ Cobas Pro Roche
</v>
      </c>
      <c r="R143" s="286"/>
    </row>
    <row r="144" spans="1:18" ht="51" x14ac:dyDescent="0.2">
      <c r="A144" s="14" t="s">
        <v>20</v>
      </c>
      <c r="B144" s="19" t="s">
        <v>21</v>
      </c>
      <c r="C144" s="14" t="s">
        <v>69</v>
      </c>
      <c r="D144" s="15" t="s">
        <v>23</v>
      </c>
      <c r="E144" s="197" t="s">
        <v>368</v>
      </c>
      <c r="F144" s="197" t="s">
        <v>25</v>
      </c>
      <c r="G144" s="197" t="s">
        <v>36</v>
      </c>
      <c r="H144" s="197" t="s">
        <v>27</v>
      </c>
      <c r="I144" s="197" t="s">
        <v>28</v>
      </c>
      <c r="J144" s="198">
        <v>1</v>
      </c>
      <c r="K144" s="246" t="s">
        <v>1563</v>
      </c>
      <c r="L144" s="199" t="s">
        <v>369</v>
      </c>
      <c r="M144" s="203" t="s">
        <v>1564</v>
      </c>
      <c r="N144" s="197" t="s">
        <v>30</v>
      </c>
      <c r="O144" s="198" t="s">
        <v>31</v>
      </c>
      <c r="P144" s="49">
        <v>1732</v>
      </c>
      <c r="Q144" s="18" t="str">
        <f t="shared" ref="Q144:Q207" si="2">CONCATENATE(N144," _ ",O144," _ ",G144," _ ",H144," _ ",I144," _ ",J144," _ ",K144)</f>
        <v xml:space="preserve">BM BB01 _ A _ Electrochimiluminescence _ Quantitatif _ Automatisée _ 1 _ Cobas Pro Roche
</v>
      </c>
      <c r="R144" s="286"/>
    </row>
    <row r="145" spans="1:18" ht="51" x14ac:dyDescent="0.2">
      <c r="A145" s="14" t="s">
        <v>20</v>
      </c>
      <c r="B145" s="19" t="s">
        <v>21</v>
      </c>
      <c r="C145" s="14" t="s">
        <v>69</v>
      </c>
      <c r="D145" s="15" t="s">
        <v>23</v>
      </c>
      <c r="E145" s="197" t="s">
        <v>370</v>
      </c>
      <c r="F145" s="197" t="s">
        <v>25</v>
      </c>
      <c r="G145" s="197" t="s">
        <v>36</v>
      </c>
      <c r="H145" s="197" t="s">
        <v>27</v>
      </c>
      <c r="I145" s="197" t="s">
        <v>28</v>
      </c>
      <c r="J145" s="198">
        <v>1</v>
      </c>
      <c r="K145" s="246" t="s">
        <v>1563</v>
      </c>
      <c r="L145" s="199" t="s">
        <v>371</v>
      </c>
      <c r="M145" s="203" t="s">
        <v>1564</v>
      </c>
      <c r="N145" s="197" t="s">
        <v>30</v>
      </c>
      <c r="O145" s="198" t="s">
        <v>31</v>
      </c>
      <c r="P145" s="49">
        <v>2204</v>
      </c>
      <c r="Q145" s="18" t="str">
        <f t="shared" si="2"/>
        <v xml:space="preserve">BM BB01 _ A _ Electrochimiluminescence _ Quantitatif _ Automatisée _ 1 _ Cobas Pro Roche
</v>
      </c>
      <c r="R145" s="286"/>
    </row>
    <row r="146" spans="1:18" ht="51" x14ac:dyDescent="0.2">
      <c r="A146" s="14" t="s">
        <v>20</v>
      </c>
      <c r="B146" s="19" t="s">
        <v>21</v>
      </c>
      <c r="C146" s="14" t="s">
        <v>69</v>
      </c>
      <c r="D146" s="15" t="s">
        <v>23</v>
      </c>
      <c r="E146" s="197" t="s">
        <v>372</v>
      </c>
      <c r="F146" s="197" t="s">
        <v>25</v>
      </c>
      <c r="G146" s="197" t="s">
        <v>73</v>
      </c>
      <c r="H146" s="197" t="s">
        <v>27</v>
      </c>
      <c r="I146" s="197" t="s">
        <v>28</v>
      </c>
      <c r="J146" s="198">
        <v>1</v>
      </c>
      <c r="K146" s="246" t="s">
        <v>1563</v>
      </c>
      <c r="L146" s="199" t="s">
        <v>373</v>
      </c>
      <c r="M146" s="203" t="s">
        <v>1564</v>
      </c>
      <c r="N146" s="197" t="s">
        <v>30</v>
      </c>
      <c r="O146" s="198" t="s">
        <v>31</v>
      </c>
      <c r="P146" s="49">
        <v>240</v>
      </c>
      <c r="Q146" s="18" t="str">
        <f t="shared" si="2"/>
        <v xml:space="preserve">BM BB01 _ A _ Immunoturbidimétrie _ Quantitatif _ Automatisée _ 1 _ Cobas Pro Roche
</v>
      </c>
      <c r="R146" s="286"/>
    </row>
    <row r="147" spans="1:18" ht="51" x14ac:dyDescent="0.2">
      <c r="A147" s="14" t="s">
        <v>20</v>
      </c>
      <c r="B147" s="19" t="s">
        <v>21</v>
      </c>
      <c r="C147" s="14" t="s">
        <v>69</v>
      </c>
      <c r="D147" s="15" t="s">
        <v>23</v>
      </c>
      <c r="E147" s="197" t="s">
        <v>374</v>
      </c>
      <c r="F147" s="197" t="s">
        <v>25</v>
      </c>
      <c r="G147" s="197" t="s">
        <v>73</v>
      </c>
      <c r="H147" s="197" t="s">
        <v>27</v>
      </c>
      <c r="I147" s="197" t="s">
        <v>28</v>
      </c>
      <c r="J147" s="198">
        <v>2</v>
      </c>
      <c r="K147" s="246" t="s">
        <v>1563</v>
      </c>
      <c r="L147" s="199" t="s">
        <v>341</v>
      </c>
      <c r="M147" s="203" t="s">
        <v>1564</v>
      </c>
      <c r="N147" s="197" t="s">
        <v>30</v>
      </c>
      <c r="O147" s="198" t="s">
        <v>31</v>
      </c>
      <c r="P147" s="49">
        <v>20087</v>
      </c>
      <c r="Q147" s="18" t="str">
        <f t="shared" si="2"/>
        <v xml:space="preserve">BM BB01 _ A _ Immunoturbidimétrie _ Quantitatif _ Automatisée _ 2 _ Cobas Pro Roche
</v>
      </c>
      <c r="R147" s="286"/>
    </row>
    <row r="148" spans="1:18" ht="63.75" x14ac:dyDescent="0.2">
      <c r="A148" s="14" t="s">
        <v>20</v>
      </c>
      <c r="B148" s="19" t="s">
        <v>21</v>
      </c>
      <c r="C148" s="14" t="s">
        <v>69</v>
      </c>
      <c r="D148" s="15" t="s">
        <v>23</v>
      </c>
      <c r="E148" s="197" t="s">
        <v>375</v>
      </c>
      <c r="F148" s="197" t="s">
        <v>25</v>
      </c>
      <c r="G148" s="197" t="s">
        <v>106</v>
      </c>
      <c r="H148" s="197" t="s">
        <v>27</v>
      </c>
      <c r="I148" s="197" t="s">
        <v>28</v>
      </c>
      <c r="J148" s="198">
        <v>2</v>
      </c>
      <c r="K148" s="275" t="s">
        <v>1563</v>
      </c>
      <c r="L148" s="247" t="s">
        <v>376</v>
      </c>
      <c r="M148" s="276" t="s">
        <v>1635</v>
      </c>
      <c r="N148" s="197" t="s">
        <v>30</v>
      </c>
      <c r="O148" s="198" t="s">
        <v>31</v>
      </c>
      <c r="P148" s="49">
        <v>2393</v>
      </c>
      <c r="Q148" s="18" t="str">
        <f t="shared" si="2"/>
        <v xml:space="preserve">BM BB01 _ A _ Enzymatique _ Quantitatif _ Automatisée _ 2 _ Cobas Pro Roche
</v>
      </c>
      <c r="R148" s="286"/>
    </row>
    <row r="149" spans="1:18" ht="51" x14ac:dyDescent="0.2">
      <c r="A149" s="14" t="s">
        <v>20</v>
      </c>
      <c r="B149" s="19" t="s">
        <v>21</v>
      </c>
      <c r="C149" s="14" t="s">
        <v>69</v>
      </c>
      <c r="D149" s="15" t="s">
        <v>23</v>
      </c>
      <c r="E149" s="197" t="s">
        <v>377</v>
      </c>
      <c r="F149" s="197" t="s">
        <v>25</v>
      </c>
      <c r="G149" s="197" t="s">
        <v>50</v>
      </c>
      <c r="H149" s="197" t="s">
        <v>27</v>
      </c>
      <c r="I149" s="197" t="s">
        <v>28</v>
      </c>
      <c r="J149" s="198">
        <v>1</v>
      </c>
      <c r="K149" s="246" t="s">
        <v>1563</v>
      </c>
      <c r="L149" s="199" t="s">
        <v>378</v>
      </c>
      <c r="M149" s="203" t="s">
        <v>1564</v>
      </c>
      <c r="N149" s="197" t="s">
        <v>30</v>
      </c>
      <c r="O149" s="198" t="s">
        <v>31</v>
      </c>
      <c r="P149" s="49">
        <v>854</v>
      </c>
      <c r="Q149" s="18" t="str">
        <f t="shared" si="2"/>
        <v xml:space="preserve">BM BB01 _ A _ Colorimétrie _ Quantitatif _ Automatisée _ 1 _ Cobas Pro Roche
</v>
      </c>
      <c r="R149" s="286"/>
    </row>
    <row r="150" spans="1:18" ht="51" x14ac:dyDescent="0.2">
      <c r="A150" s="14" t="s">
        <v>20</v>
      </c>
      <c r="B150" s="19" t="s">
        <v>21</v>
      </c>
      <c r="C150" s="14" t="s">
        <v>69</v>
      </c>
      <c r="D150" s="15" t="s">
        <v>23</v>
      </c>
      <c r="E150" s="197" t="s">
        <v>379</v>
      </c>
      <c r="F150" s="197" t="s">
        <v>25</v>
      </c>
      <c r="G150" s="197" t="s">
        <v>343</v>
      </c>
      <c r="H150" s="197" t="s">
        <v>27</v>
      </c>
      <c r="I150" s="197" t="s">
        <v>28</v>
      </c>
      <c r="J150" s="198">
        <v>1</v>
      </c>
      <c r="K150" s="197" t="s">
        <v>299</v>
      </c>
      <c r="L150" s="197" t="s">
        <v>380</v>
      </c>
      <c r="M150" s="267"/>
      <c r="N150" s="197" t="s">
        <v>30</v>
      </c>
      <c r="O150" s="198" t="s">
        <v>31</v>
      </c>
      <c r="P150" s="49">
        <v>1060</v>
      </c>
      <c r="Q150" s="18" t="str">
        <f t="shared" si="2"/>
        <v>BM BB01 _ A _ Turbidimétrie _ Quantitatif _ Automatisée _ 1 _ Optilite de The Binding Site</v>
      </c>
      <c r="R150" s="286"/>
    </row>
    <row r="151" spans="1:18" ht="51" x14ac:dyDescent="0.2">
      <c r="A151" s="14" t="s">
        <v>20</v>
      </c>
      <c r="B151" s="19" t="s">
        <v>21</v>
      </c>
      <c r="C151" s="14" t="s">
        <v>69</v>
      </c>
      <c r="D151" s="15" t="s">
        <v>23</v>
      </c>
      <c r="E151" s="197" t="s">
        <v>381</v>
      </c>
      <c r="F151" s="197" t="s">
        <v>25</v>
      </c>
      <c r="G151" s="197" t="s">
        <v>343</v>
      </c>
      <c r="H151" s="197" t="s">
        <v>27</v>
      </c>
      <c r="I151" s="197" t="s">
        <v>28</v>
      </c>
      <c r="J151" s="198">
        <v>1</v>
      </c>
      <c r="K151" s="197" t="s">
        <v>299</v>
      </c>
      <c r="L151" s="197" t="s">
        <v>380</v>
      </c>
      <c r="M151" s="267"/>
      <c r="N151" s="197" t="s">
        <v>30</v>
      </c>
      <c r="O151" s="198" t="s">
        <v>31</v>
      </c>
      <c r="P151" s="49">
        <v>1060</v>
      </c>
      <c r="Q151" s="18" t="str">
        <f t="shared" si="2"/>
        <v>BM BB01 _ A _ Turbidimétrie _ Quantitatif _ Automatisée _ 1 _ Optilite de The Binding Site</v>
      </c>
      <c r="R151" s="286"/>
    </row>
    <row r="152" spans="1:18" ht="51" x14ac:dyDescent="0.2">
      <c r="A152" s="14" t="s">
        <v>20</v>
      </c>
      <c r="B152" s="19" t="s">
        <v>21</v>
      </c>
      <c r="C152" s="14" t="s">
        <v>69</v>
      </c>
      <c r="D152" s="15" t="s">
        <v>23</v>
      </c>
      <c r="E152" s="197" t="s">
        <v>382</v>
      </c>
      <c r="F152" s="197" t="s">
        <v>25</v>
      </c>
      <c r="G152" s="197" t="s">
        <v>343</v>
      </c>
      <c r="H152" s="197" t="s">
        <v>27</v>
      </c>
      <c r="I152" s="197" t="s">
        <v>28</v>
      </c>
      <c r="J152" s="198">
        <v>1</v>
      </c>
      <c r="K152" s="246" t="s">
        <v>1563</v>
      </c>
      <c r="L152" s="199" t="s">
        <v>29</v>
      </c>
      <c r="M152" s="203" t="s">
        <v>1564</v>
      </c>
      <c r="N152" s="197" t="s">
        <v>30</v>
      </c>
      <c r="O152" s="198" t="s">
        <v>31</v>
      </c>
      <c r="P152" s="49">
        <v>47370</v>
      </c>
      <c r="Q152" s="18" t="str">
        <f t="shared" si="2"/>
        <v xml:space="preserve">BM BB01 _ A _ Turbidimétrie _ Quantitatif _ Automatisée _ 1 _ Cobas Pro Roche
</v>
      </c>
      <c r="R152" s="286"/>
    </row>
    <row r="153" spans="1:18" ht="51" x14ac:dyDescent="0.2">
      <c r="A153" s="14" t="s">
        <v>20</v>
      </c>
      <c r="B153" s="19" t="s">
        <v>21</v>
      </c>
      <c r="C153" s="14" t="s">
        <v>69</v>
      </c>
      <c r="D153" s="15" t="s">
        <v>23</v>
      </c>
      <c r="E153" s="197" t="s">
        <v>383</v>
      </c>
      <c r="F153" s="197" t="s">
        <v>384</v>
      </c>
      <c r="G153" s="197" t="s">
        <v>343</v>
      </c>
      <c r="H153" s="197" t="s">
        <v>27</v>
      </c>
      <c r="I153" s="197" t="s">
        <v>28</v>
      </c>
      <c r="J153" s="198">
        <v>1</v>
      </c>
      <c r="K153" s="246" t="s">
        <v>1563</v>
      </c>
      <c r="L153" s="199" t="s">
        <v>367</v>
      </c>
      <c r="M153" s="203" t="s">
        <v>1564</v>
      </c>
      <c r="N153" s="197" t="s">
        <v>30</v>
      </c>
      <c r="O153" s="198" t="s">
        <v>31</v>
      </c>
      <c r="P153" s="49">
        <v>576</v>
      </c>
      <c r="Q153" s="18" t="str">
        <f t="shared" si="2"/>
        <v xml:space="preserve">BM BB01 _ A _ Turbidimétrie _ Quantitatif _ Automatisée _ 1 _ Cobas Pro Roche
</v>
      </c>
      <c r="R153" s="286"/>
    </row>
    <row r="154" spans="1:18" ht="51" x14ac:dyDescent="0.2">
      <c r="A154" s="14" t="s">
        <v>20</v>
      </c>
      <c r="B154" s="19" t="s">
        <v>21</v>
      </c>
      <c r="C154" s="14" t="s">
        <v>69</v>
      </c>
      <c r="D154" s="15" t="s">
        <v>23</v>
      </c>
      <c r="E154" s="197" t="s">
        <v>385</v>
      </c>
      <c r="F154" s="197" t="s">
        <v>25</v>
      </c>
      <c r="G154" s="197" t="s">
        <v>106</v>
      </c>
      <c r="H154" s="197" t="s">
        <v>27</v>
      </c>
      <c r="I154" s="197" t="s">
        <v>28</v>
      </c>
      <c r="J154" s="198">
        <v>1</v>
      </c>
      <c r="K154" s="246" t="s">
        <v>1563</v>
      </c>
      <c r="L154" s="199" t="s">
        <v>369</v>
      </c>
      <c r="M154" s="203" t="s">
        <v>1564</v>
      </c>
      <c r="N154" s="197" t="s">
        <v>30</v>
      </c>
      <c r="O154" s="198" t="s">
        <v>31</v>
      </c>
      <c r="P154" s="49">
        <v>2108</v>
      </c>
      <c r="Q154" s="18" t="str">
        <f t="shared" si="2"/>
        <v xml:space="preserve">BM BB01 _ A _ Enzymatique _ Quantitatif _ Automatisée _ 1 _ Cobas Pro Roche
</v>
      </c>
      <c r="R154" s="286"/>
    </row>
    <row r="155" spans="1:18" ht="51" x14ac:dyDescent="0.2">
      <c r="A155" s="14" t="s">
        <v>20</v>
      </c>
      <c r="B155" s="19" t="s">
        <v>21</v>
      </c>
      <c r="C155" s="14" t="s">
        <v>69</v>
      </c>
      <c r="D155" s="15" t="s">
        <v>23</v>
      </c>
      <c r="E155" s="197" t="s">
        <v>386</v>
      </c>
      <c r="F155" s="197" t="s">
        <v>25</v>
      </c>
      <c r="G155" s="197" t="s">
        <v>36</v>
      </c>
      <c r="H155" s="197" t="s">
        <v>27</v>
      </c>
      <c r="I155" s="197" t="s">
        <v>28</v>
      </c>
      <c r="J155" s="198">
        <v>1</v>
      </c>
      <c r="K155" s="246" t="s">
        <v>1563</v>
      </c>
      <c r="L155" s="199" t="s">
        <v>371</v>
      </c>
      <c r="M155" s="203" t="s">
        <v>1564</v>
      </c>
      <c r="N155" s="197" t="s">
        <v>30</v>
      </c>
      <c r="O155" s="198" t="s">
        <v>31</v>
      </c>
      <c r="P155" s="49">
        <v>19224</v>
      </c>
      <c r="Q155" s="18" t="str">
        <f t="shared" si="2"/>
        <v xml:space="preserve">BM BB01 _ A _ Electrochimiluminescence _ Quantitatif _ Automatisée _ 1 _ Cobas Pro Roche
</v>
      </c>
      <c r="R155" s="286"/>
    </row>
    <row r="156" spans="1:18" ht="51" x14ac:dyDescent="0.2">
      <c r="A156" s="14" t="s">
        <v>20</v>
      </c>
      <c r="B156" s="19" t="s">
        <v>21</v>
      </c>
      <c r="C156" s="14" t="s">
        <v>69</v>
      </c>
      <c r="D156" s="15" t="s">
        <v>23</v>
      </c>
      <c r="E156" s="197" t="s">
        <v>387</v>
      </c>
      <c r="F156" s="197" t="s">
        <v>25</v>
      </c>
      <c r="G156" s="197" t="s">
        <v>36</v>
      </c>
      <c r="H156" s="197" t="s">
        <v>27</v>
      </c>
      <c r="I156" s="197" t="s">
        <v>28</v>
      </c>
      <c r="J156" s="198">
        <v>1</v>
      </c>
      <c r="K156" s="246" t="s">
        <v>1563</v>
      </c>
      <c r="L156" s="199" t="s">
        <v>373</v>
      </c>
      <c r="M156" s="203" t="s">
        <v>1564</v>
      </c>
      <c r="N156" s="197" t="s">
        <v>30</v>
      </c>
      <c r="O156" s="198" t="s">
        <v>31</v>
      </c>
      <c r="P156" s="49">
        <v>18808</v>
      </c>
      <c r="Q156" s="18" t="str">
        <f t="shared" si="2"/>
        <v xml:space="preserve">BM BB01 _ A _ Electrochimiluminescence _ Quantitatif _ Automatisée _ 1 _ Cobas Pro Roche
</v>
      </c>
      <c r="R156" s="286"/>
    </row>
    <row r="157" spans="1:18" ht="51" x14ac:dyDescent="0.2">
      <c r="A157" s="14" t="s">
        <v>20</v>
      </c>
      <c r="B157" s="19" t="s">
        <v>21</v>
      </c>
      <c r="C157" s="14" t="s">
        <v>69</v>
      </c>
      <c r="D157" s="15" t="s">
        <v>23</v>
      </c>
      <c r="E157" s="197" t="s">
        <v>388</v>
      </c>
      <c r="F157" s="197" t="s">
        <v>25</v>
      </c>
      <c r="G157" s="197" t="s">
        <v>389</v>
      </c>
      <c r="H157" s="197" t="s">
        <v>27</v>
      </c>
      <c r="I157" s="197" t="s">
        <v>28</v>
      </c>
      <c r="J157" s="198">
        <v>1</v>
      </c>
      <c r="K157" s="246" t="s">
        <v>1563</v>
      </c>
      <c r="L157" s="199" t="s">
        <v>341</v>
      </c>
      <c r="M157" s="203" t="s">
        <v>1564</v>
      </c>
      <c r="N157" s="197" t="s">
        <v>30</v>
      </c>
      <c r="O157" s="198" t="s">
        <v>31</v>
      </c>
      <c r="P157" s="49">
        <v>327</v>
      </c>
      <c r="Q157" s="18" t="str">
        <f t="shared" si="2"/>
        <v xml:space="preserve">BM BB01 _ A _ Fluorescence _ Quantitatif _ Automatisée _ 1 _ Cobas Pro Roche
</v>
      </c>
      <c r="R157" s="286"/>
    </row>
    <row r="158" spans="1:18" ht="51" x14ac:dyDescent="0.2">
      <c r="A158" s="14" t="s">
        <v>20</v>
      </c>
      <c r="B158" s="19" t="s">
        <v>21</v>
      </c>
      <c r="C158" s="14" t="s">
        <v>69</v>
      </c>
      <c r="D158" s="15" t="s">
        <v>23</v>
      </c>
      <c r="E158" s="197" t="s">
        <v>390</v>
      </c>
      <c r="F158" s="197" t="s">
        <v>25</v>
      </c>
      <c r="G158" s="197" t="s">
        <v>391</v>
      </c>
      <c r="H158" s="197" t="s">
        <v>27</v>
      </c>
      <c r="I158" s="197" t="s">
        <v>28</v>
      </c>
      <c r="J158" s="198">
        <v>1</v>
      </c>
      <c r="K158" s="275" t="s">
        <v>1563</v>
      </c>
      <c r="L158" s="199" t="s">
        <v>376</v>
      </c>
      <c r="M158" s="203" t="s">
        <v>1564</v>
      </c>
      <c r="N158" s="197" t="s">
        <v>30</v>
      </c>
      <c r="O158" s="198" t="s">
        <v>31</v>
      </c>
      <c r="P158" s="49">
        <v>256</v>
      </c>
      <c r="Q158" s="18" t="str">
        <f t="shared" si="2"/>
        <v xml:space="preserve">BM BB01 _ A _ Chimiluminescence _ Quantitatif _ Automatisée _ 1 _ Cobas Pro Roche
</v>
      </c>
      <c r="R158" s="286"/>
    </row>
    <row r="159" spans="1:18" ht="51" x14ac:dyDescent="0.2">
      <c r="A159" s="14" t="s">
        <v>20</v>
      </c>
      <c r="B159" s="19" t="s">
        <v>21</v>
      </c>
      <c r="C159" s="14" t="s">
        <v>69</v>
      </c>
      <c r="D159" s="15" t="s">
        <v>23</v>
      </c>
      <c r="E159" s="197" t="s">
        <v>392</v>
      </c>
      <c r="F159" s="197" t="s">
        <v>292</v>
      </c>
      <c r="G159" s="197" t="s">
        <v>33</v>
      </c>
      <c r="H159" s="197" t="s">
        <v>27</v>
      </c>
      <c r="I159" s="197" t="s">
        <v>28</v>
      </c>
      <c r="J159" s="198">
        <v>2</v>
      </c>
      <c r="K159" s="246" t="s">
        <v>1563</v>
      </c>
      <c r="L159" s="199" t="s">
        <v>378</v>
      </c>
      <c r="M159" s="203" t="s">
        <v>1564</v>
      </c>
      <c r="N159" s="197" t="s">
        <v>30</v>
      </c>
      <c r="O159" s="198" t="s">
        <v>31</v>
      </c>
      <c r="P159" s="49">
        <v>11211</v>
      </c>
      <c r="Q159" s="18" t="str">
        <f t="shared" si="2"/>
        <v xml:space="preserve">BM BB01 _ A _ Potentiométrie indirecte _ Quantitatif _ Automatisée _ 2 _ Cobas Pro Roche
</v>
      </c>
      <c r="R159" s="286"/>
    </row>
    <row r="160" spans="1:18" ht="63.75" x14ac:dyDescent="0.2">
      <c r="A160" s="14" t="s">
        <v>20</v>
      </c>
      <c r="B160" s="19" t="s">
        <v>21</v>
      </c>
      <c r="C160" s="14" t="s">
        <v>69</v>
      </c>
      <c r="D160" s="15" t="s">
        <v>23</v>
      </c>
      <c r="E160" s="197" t="s">
        <v>393</v>
      </c>
      <c r="F160" s="197" t="s">
        <v>292</v>
      </c>
      <c r="G160" s="197" t="s">
        <v>33</v>
      </c>
      <c r="H160" s="197" t="s">
        <v>27</v>
      </c>
      <c r="I160" s="197" t="s">
        <v>28</v>
      </c>
      <c r="J160" s="198">
        <v>2</v>
      </c>
      <c r="K160" s="275" t="s">
        <v>1563</v>
      </c>
      <c r="L160" s="247" t="s">
        <v>394</v>
      </c>
      <c r="M160" s="276" t="s">
        <v>1634</v>
      </c>
      <c r="N160" s="197" t="s">
        <v>30</v>
      </c>
      <c r="O160" s="198" t="s">
        <v>31</v>
      </c>
      <c r="P160" s="49">
        <v>11153</v>
      </c>
      <c r="Q160" s="18" t="str">
        <f t="shared" si="2"/>
        <v xml:space="preserve">BM BB01 _ A _ Potentiométrie indirecte _ Quantitatif _ Automatisée _ 2 _ Cobas Pro Roche
</v>
      </c>
      <c r="R160" s="286"/>
    </row>
    <row r="161" spans="1:18" ht="63.75" x14ac:dyDescent="0.2">
      <c r="A161" s="14" t="s">
        <v>20</v>
      </c>
      <c r="B161" s="19" t="s">
        <v>21</v>
      </c>
      <c r="C161" s="14" t="s">
        <v>69</v>
      </c>
      <c r="D161" s="15" t="s">
        <v>23</v>
      </c>
      <c r="E161" s="197" t="s">
        <v>395</v>
      </c>
      <c r="F161" s="197" t="s">
        <v>292</v>
      </c>
      <c r="G161" s="197" t="s">
        <v>106</v>
      </c>
      <c r="H161" s="197" t="s">
        <v>27</v>
      </c>
      <c r="I161" s="197" t="s">
        <v>28</v>
      </c>
      <c r="J161" s="198">
        <v>2</v>
      </c>
      <c r="K161" s="275" t="s">
        <v>1563</v>
      </c>
      <c r="L161" s="247" t="s">
        <v>396</v>
      </c>
      <c r="M161" s="276" t="s">
        <v>1634</v>
      </c>
      <c r="N161" s="197" t="s">
        <v>30</v>
      </c>
      <c r="O161" s="198" t="s">
        <v>31</v>
      </c>
      <c r="P161" s="49">
        <v>22947</v>
      </c>
      <c r="Q161" s="18" t="str">
        <f t="shared" si="2"/>
        <v xml:space="preserve">BM BB01 _ A _ Enzymatique _ Quantitatif _ Automatisée _ 2 _ Cobas Pro Roche
</v>
      </c>
      <c r="R161" s="286"/>
    </row>
    <row r="162" spans="1:18" ht="51" x14ac:dyDescent="0.2">
      <c r="A162" s="14" t="s">
        <v>20</v>
      </c>
      <c r="B162" s="19" t="s">
        <v>21</v>
      </c>
      <c r="C162" s="14" t="s">
        <v>69</v>
      </c>
      <c r="D162" s="15" t="s">
        <v>23</v>
      </c>
      <c r="E162" s="197" t="s">
        <v>397</v>
      </c>
      <c r="F162" s="197" t="s">
        <v>25</v>
      </c>
      <c r="G162" s="197" t="s">
        <v>391</v>
      </c>
      <c r="H162" s="197" t="s">
        <v>27</v>
      </c>
      <c r="I162" s="197" t="s">
        <v>28</v>
      </c>
      <c r="J162" s="198">
        <v>1</v>
      </c>
      <c r="K162" s="197" t="s">
        <v>363</v>
      </c>
      <c r="L162" s="197" t="s">
        <v>398</v>
      </c>
      <c r="M162" s="264"/>
      <c r="N162" s="197" t="s">
        <v>30</v>
      </c>
      <c r="O162" s="198" t="s">
        <v>31</v>
      </c>
      <c r="P162" s="49">
        <v>1641</v>
      </c>
      <c r="Q162" s="18" t="str">
        <f t="shared" si="2"/>
        <v>BM BB01 _ A _ Chimiluminescence _ Quantitatif _ Automatisée _ 1 _ LIAISON XL</v>
      </c>
      <c r="R162" s="286"/>
    </row>
    <row r="163" spans="1:18" ht="51" x14ac:dyDescent="0.2">
      <c r="A163" s="14" t="s">
        <v>20</v>
      </c>
      <c r="B163" s="19" t="s">
        <v>21</v>
      </c>
      <c r="C163" s="14" t="s">
        <v>69</v>
      </c>
      <c r="D163" s="15" t="s">
        <v>23</v>
      </c>
      <c r="E163" s="197" t="s">
        <v>399</v>
      </c>
      <c r="F163" s="197" t="s">
        <v>25</v>
      </c>
      <c r="G163" s="197" t="s">
        <v>391</v>
      </c>
      <c r="H163" s="197" t="s">
        <v>27</v>
      </c>
      <c r="I163" s="197" t="s">
        <v>28</v>
      </c>
      <c r="J163" s="198">
        <v>1</v>
      </c>
      <c r="K163" s="197" t="s">
        <v>363</v>
      </c>
      <c r="L163" s="197" t="s">
        <v>400</v>
      </c>
      <c r="M163" s="264"/>
      <c r="N163" s="197" t="s">
        <v>30</v>
      </c>
      <c r="O163" s="198" t="s">
        <v>31</v>
      </c>
      <c r="P163" s="49">
        <v>1404</v>
      </c>
      <c r="Q163" s="18" t="str">
        <f t="shared" si="2"/>
        <v>BM BB01 _ A _ Chimiluminescence _ Quantitatif _ Automatisée _ 1 _ LIAISON XL</v>
      </c>
      <c r="R163" s="286"/>
    </row>
    <row r="164" spans="1:18" ht="51" x14ac:dyDescent="0.2">
      <c r="A164" s="14" t="s">
        <v>20</v>
      </c>
      <c r="B164" s="19" t="s">
        <v>21</v>
      </c>
      <c r="C164" s="14" t="s">
        <v>69</v>
      </c>
      <c r="D164" s="15" t="s">
        <v>23</v>
      </c>
      <c r="E164" s="197" t="s">
        <v>401</v>
      </c>
      <c r="F164" s="197" t="s">
        <v>25</v>
      </c>
      <c r="G164" s="197" t="s">
        <v>391</v>
      </c>
      <c r="H164" s="197" t="s">
        <v>27</v>
      </c>
      <c r="I164" s="197" t="s">
        <v>28</v>
      </c>
      <c r="J164" s="198">
        <v>1</v>
      </c>
      <c r="K164" s="197" t="s">
        <v>363</v>
      </c>
      <c r="L164" s="197" t="s">
        <v>402</v>
      </c>
      <c r="M164" s="264"/>
      <c r="N164" s="197" t="s">
        <v>30</v>
      </c>
      <c r="O164" s="198" t="s">
        <v>31</v>
      </c>
      <c r="P164" s="49">
        <v>731</v>
      </c>
      <c r="Q164" s="18" t="str">
        <f t="shared" si="2"/>
        <v>BM BB01 _ A _ Chimiluminescence _ Quantitatif _ Automatisée _ 1 _ LIAISON XL</v>
      </c>
      <c r="R164" s="286"/>
    </row>
    <row r="165" spans="1:18" ht="51" x14ac:dyDescent="0.2">
      <c r="A165" s="14" t="s">
        <v>20</v>
      </c>
      <c r="B165" s="19" t="s">
        <v>21</v>
      </c>
      <c r="C165" s="14" t="s">
        <v>69</v>
      </c>
      <c r="D165" s="15" t="s">
        <v>23</v>
      </c>
      <c r="E165" s="197" t="s">
        <v>403</v>
      </c>
      <c r="F165" s="197" t="s">
        <v>25</v>
      </c>
      <c r="G165" s="197" t="s">
        <v>391</v>
      </c>
      <c r="H165" s="197" t="s">
        <v>27</v>
      </c>
      <c r="I165" s="197" t="s">
        <v>28</v>
      </c>
      <c r="J165" s="198">
        <v>1</v>
      </c>
      <c r="K165" s="197" t="s">
        <v>363</v>
      </c>
      <c r="L165" s="197" t="s">
        <v>404</v>
      </c>
      <c r="M165" s="264"/>
      <c r="N165" s="197" t="s">
        <v>30</v>
      </c>
      <c r="O165" s="198" t="s">
        <v>31</v>
      </c>
      <c r="P165" s="49">
        <v>850</v>
      </c>
      <c r="Q165" s="18" t="str">
        <f t="shared" si="2"/>
        <v>BM BB01 _ A _ Chimiluminescence _ Quantitatif _ Automatisée _ 1 _ LIAISON XL</v>
      </c>
      <c r="R165" s="286"/>
    </row>
    <row r="166" spans="1:18" ht="37.5" customHeight="1" x14ac:dyDescent="0.2">
      <c r="A166" s="14" t="s">
        <v>20</v>
      </c>
      <c r="B166" s="19" t="s">
        <v>21</v>
      </c>
      <c r="C166" s="14" t="s">
        <v>69</v>
      </c>
      <c r="D166" s="15" t="s">
        <v>23</v>
      </c>
      <c r="E166" s="210" t="s">
        <v>405</v>
      </c>
      <c r="F166" s="210" t="s">
        <v>25</v>
      </c>
      <c r="G166" s="210" t="s">
        <v>93</v>
      </c>
      <c r="H166" s="210" t="s">
        <v>27</v>
      </c>
      <c r="I166" s="210" t="s">
        <v>406</v>
      </c>
      <c r="J166" s="211" t="s">
        <v>406</v>
      </c>
      <c r="K166" s="210" t="s">
        <v>406</v>
      </c>
      <c r="L166" s="210" t="s">
        <v>341</v>
      </c>
      <c r="M166" s="268"/>
      <c r="N166" s="210" t="s">
        <v>30</v>
      </c>
      <c r="O166" s="198" t="s">
        <v>31</v>
      </c>
      <c r="P166" s="49">
        <v>136</v>
      </c>
      <c r="Q166" s="18" t="str">
        <f t="shared" si="2"/>
        <v>BM BB01 _ A _ Calcul _ Quantitatif _ Non Applicable _ Non Applicable _ Non Applicable</v>
      </c>
      <c r="R166" s="286"/>
    </row>
    <row r="167" spans="1:18" ht="37.5" customHeight="1" x14ac:dyDescent="0.2">
      <c r="A167" s="14" t="s">
        <v>20</v>
      </c>
      <c r="B167" s="19" t="s">
        <v>21</v>
      </c>
      <c r="C167" s="14" t="s">
        <v>69</v>
      </c>
      <c r="D167" s="15" t="s">
        <v>23</v>
      </c>
      <c r="E167" s="210" t="s">
        <v>407</v>
      </c>
      <c r="F167" s="210" t="s">
        <v>25</v>
      </c>
      <c r="G167" s="210" t="s">
        <v>408</v>
      </c>
      <c r="H167" s="210" t="s">
        <v>27</v>
      </c>
      <c r="I167" s="210" t="s">
        <v>28</v>
      </c>
      <c r="J167" s="211">
        <v>1</v>
      </c>
      <c r="K167" s="210" t="s">
        <v>349</v>
      </c>
      <c r="L167" s="210" t="s">
        <v>409</v>
      </c>
      <c r="M167" s="268"/>
      <c r="N167" s="210" t="s">
        <v>30</v>
      </c>
      <c r="O167" s="198" t="s">
        <v>31</v>
      </c>
      <c r="P167" s="49">
        <v>533</v>
      </c>
      <c r="Q167" s="18" t="str">
        <f t="shared" si="2"/>
        <v xml:space="preserve">BM BB01 _ A _ Technologie TRACE _ Quantitatif _ Automatisée _ 1 _ Automate Kryptor Compact Plus (societé Thermo Scientific) </v>
      </c>
      <c r="R167" s="286"/>
    </row>
    <row r="168" spans="1:18" ht="37.5" customHeight="1" x14ac:dyDescent="0.2">
      <c r="A168" s="14" t="s">
        <v>20</v>
      </c>
      <c r="B168" s="19" t="s">
        <v>21</v>
      </c>
      <c r="C168" s="14" t="s">
        <v>69</v>
      </c>
      <c r="D168" s="15" t="s">
        <v>23</v>
      </c>
      <c r="E168" s="210" t="s">
        <v>410</v>
      </c>
      <c r="F168" s="210" t="s">
        <v>25</v>
      </c>
      <c r="G168" s="210" t="s">
        <v>408</v>
      </c>
      <c r="H168" s="210" t="s">
        <v>27</v>
      </c>
      <c r="I168" s="210" t="s">
        <v>28</v>
      </c>
      <c r="J168" s="211">
        <v>1</v>
      </c>
      <c r="K168" s="210" t="s">
        <v>349</v>
      </c>
      <c r="L168" s="210" t="s">
        <v>409</v>
      </c>
      <c r="M168" s="268"/>
      <c r="N168" s="210" t="s">
        <v>30</v>
      </c>
      <c r="O168" s="198" t="s">
        <v>31</v>
      </c>
      <c r="P168" s="49">
        <v>87</v>
      </c>
      <c r="Q168" s="18" t="str">
        <f t="shared" si="2"/>
        <v xml:space="preserve">BM BB01 _ A _ Technologie TRACE _ Quantitatif _ Automatisée _ 1 _ Automate Kryptor Compact Plus (societé Thermo Scientific) </v>
      </c>
      <c r="R168" s="286"/>
    </row>
    <row r="169" spans="1:18" ht="48.75" customHeight="1" x14ac:dyDescent="0.2">
      <c r="A169" s="14" t="s">
        <v>20</v>
      </c>
      <c r="B169" s="19" t="s">
        <v>21</v>
      </c>
      <c r="C169" s="14" t="s">
        <v>69</v>
      </c>
      <c r="D169" s="15" t="s">
        <v>23</v>
      </c>
      <c r="E169" s="210" t="s">
        <v>411</v>
      </c>
      <c r="F169" s="210" t="s">
        <v>25</v>
      </c>
      <c r="G169" s="210" t="s">
        <v>408</v>
      </c>
      <c r="H169" s="210" t="s">
        <v>27</v>
      </c>
      <c r="I169" s="210" t="s">
        <v>28</v>
      </c>
      <c r="J169" s="211">
        <v>1</v>
      </c>
      <c r="K169" s="210" t="s">
        <v>349</v>
      </c>
      <c r="L169" s="210" t="s">
        <v>409</v>
      </c>
      <c r="M169" s="268"/>
      <c r="N169" s="210" t="s">
        <v>30</v>
      </c>
      <c r="O169" s="198" t="s">
        <v>31</v>
      </c>
      <c r="P169" s="49">
        <v>620</v>
      </c>
      <c r="Q169" s="18" t="str">
        <f t="shared" si="2"/>
        <v xml:space="preserve">BM BB01 _ A _ Technologie TRACE _ Quantitatif _ Automatisée _ 1 _ Automate Kryptor Compact Plus (societé Thermo Scientific) </v>
      </c>
      <c r="R169" s="286"/>
    </row>
    <row r="170" spans="1:18" ht="48.75" customHeight="1" x14ac:dyDescent="0.2">
      <c r="A170" s="14" t="s">
        <v>20</v>
      </c>
      <c r="B170" s="14" t="s">
        <v>21</v>
      </c>
      <c r="C170" s="23" t="s">
        <v>22</v>
      </c>
      <c r="D170" s="15" t="s">
        <v>23</v>
      </c>
      <c r="E170" s="212" t="s">
        <v>412</v>
      </c>
      <c r="F170" s="213" t="s">
        <v>25</v>
      </c>
      <c r="G170" s="213" t="s">
        <v>413</v>
      </c>
      <c r="H170" s="213" t="s">
        <v>27</v>
      </c>
      <c r="I170" s="213" t="s">
        <v>28</v>
      </c>
      <c r="J170" s="214">
        <v>1</v>
      </c>
      <c r="K170" s="213" t="s">
        <v>414</v>
      </c>
      <c r="L170" s="213" t="s">
        <v>415</v>
      </c>
      <c r="M170" s="268"/>
      <c r="N170" s="215" t="s">
        <v>30</v>
      </c>
      <c r="O170" s="198" t="s">
        <v>31</v>
      </c>
      <c r="P170" s="49">
        <v>1004</v>
      </c>
      <c r="Q170" s="18" t="str">
        <f t="shared" si="2"/>
        <v xml:space="preserve">BM BB01 _ A _ Cryoscopie _ Quantitatif _ Automatisée _ 1 _ OsmoPro® </v>
      </c>
      <c r="R170" s="286"/>
    </row>
    <row r="171" spans="1:18" ht="51" x14ac:dyDescent="0.2">
      <c r="A171" s="14" t="s">
        <v>20</v>
      </c>
      <c r="B171" s="19" t="s">
        <v>21</v>
      </c>
      <c r="C171" s="23" t="s">
        <v>22</v>
      </c>
      <c r="D171" s="23" t="s">
        <v>23</v>
      </c>
      <c r="E171" s="216" t="s">
        <v>416</v>
      </c>
      <c r="F171" s="216" t="s">
        <v>25</v>
      </c>
      <c r="G171" s="216" t="s">
        <v>391</v>
      </c>
      <c r="H171" s="210" t="s">
        <v>27</v>
      </c>
      <c r="I171" s="217" t="s">
        <v>28</v>
      </c>
      <c r="J171" s="211">
        <v>1</v>
      </c>
      <c r="K171" s="246" t="s">
        <v>1563</v>
      </c>
      <c r="L171" s="248" t="s">
        <v>417</v>
      </c>
      <c r="M171" s="203" t="s">
        <v>1564</v>
      </c>
      <c r="N171" s="216" t="s">
        <v>30</v>
      </c>
      <c r="O171" s="198" t="s">
        <v>31</v>
      </c>
      <c r="P171" s="49">
        <v>2443</v>
      </c>
      <c r="Q171" s="18" t="str">
        <f t="shared" si="2"/>
        <v xml:space="preserve">BM BB01 _ A _ Chimiluminescence _ Quantitatif _ Automatisée _ 1 _ Cobas Pro Roche
</v>
      </c>
      <c r="R171" s="286"/>
    </row>
    <row r="172" spans="1:18" ht="51" x14ac:dyDescent="0.2">
      <c r="A172" s="14" t="s">
        <v>20</v>
      </c>
      <c r="B172" s="19" t="s">
        <v>21</v>
      </c>
      <c r="C172" s="23" t="s">
        <v>22</v>
      </c>
      <c r="D172" s="23" t="s">
        <v>23</v>
      </c>
      <c r="E172" s="204" t="s">
        <v>418</v>
      </c>
      <c r="F172" s="204" t="s">
        <v>25</v>
      </c>
      <c r="G172" s="204" t="s">
        <v>391</v>
      </c>
      <c r="H172" s="197" t="s">
        <v>27</v>
      </c>
      <c r="I172" s="201" t="s">
        <v>28</v>
      </c>
      <c r="J172" s="198">
        <v>1</v>
      </c>
      <c r="K172" s="246" t="s">
        <v>1563</v>
      </c>
      <c r="L172" s="55" t="s">
        <v>419</v>
      </c>
      <c r="M172" s="203" t="s">
        <v>1564</v>
      </c>
      <c r="N172" s="204" t="s">
        <v>30</v>
      </c>
      <c r="O172" s="198" t="s">
        <v>31</v>
      </c>
      <c r="P172" s="49">
        <v>155</v>
      </c>
      <c r="Q172" s="18" t="str">
        <f t="shared" si="2"/>
        <v xml:space="preserve">BM BB01 _ A _ Chimiluminescence _ Quantitatif _ Automatisée _ 1 _ Cobas Pro Roche
</v>
      </c>
      <c r="R172" s="286"/>
    </row>
    <row r="173" spans="1:18" ht="63.75" x14ac:dyDescent="0.2">
      <c r="A173" s="14" t="s">
        <v>20</v>
      </c>
      <c r="B173" s="19" t="s">
        <v>21</v>
      </c>
      <c r="C173" s="23" t="s">
        <v>22</v>
      </c>
      <c r="D173" s="23" t="s">
        <v>23</v>
      </c>
      <c r="E173" s="204" t="s">
        <v>420</v>
      </c>
      <c r="F173" s="204" t="s">
        <v>421</v>
      </c>
      <c r="G173" s="204" t="s">
        <v>106</v>
      </c>
      <c r="H173" s="197" t="s">
        <v>27</v>
      </c>
      <c r="I173" s="201" t="s">
        <v>28</v>
      </c>
      <c r="J173" s="198">
        <v>2</v>
      </c>
      <c r="K173" s="275" t="s">
        <v>1563</v>
      </c>
      <c r="L173" s="277" t="s">
        <v>422</v>
      </c>
      <c r="M173" s="276" t="s">
        <v>1634</v>
      </c>
      <c r="N173" s="204" t="s">
        <v>30</v>
      </c>
      <c r="O173" s="198" t="s">
        <v>31</v>
      </c>
      <c r="P173" s="49">
        <v>2329</v>
      </c>
      <c r="Q173" s="18" t="str">
        <f t="shared" si="2"/>
        <v xml:space="preserve">BM BB01 _ A _ Enzymatique _ Quantitatif _ Automatisée _ 2 _ Cobas Pro Roche
</v>
      </c>
      <c r="R173" s="286"/>
    </row>
    <row r="174" spans="1:18" ht="73.5" customHeight="1" x14ac:dyDescent="0.2">
      <c r="A174" s="14" t="s">
        <v>20</v>
      </c>
      <c r="B174" s="19" t="s">
        <v>21</v>
      </c>
      <c r="C174" s="23" t="s">
        <v>22</v>
      </c>
      <c r="D174" s="23" t="s">
        <v>23</v>
      </c>
      <c r="E174" s="204" t="s">
        <v>423</v>
      </c>
      <c r="F174" s="204" t="s">
        <v>421</v>
      </c>
      <c r="G174" s="204" t="s">
        <v>343</v>
      </c>
      <c r="H174" s="197" t="s">
        <v>27</v>
      </c>
      <c r="I174" s="201" t="s">
        <v>28</v>
      </c>
      <c r="J174" s="198">
        <v>2</v>
      </c>
      <c r="K174" s="275" t="s">
        <v>1563</v>
      </c>
      <c r="L174" s="277" t="s">
        <v>424</v>
      </c>
      <c r="M174" s="276" t="s">
        <v>1634</v>
      </c>
      <c r="N174" s="204" t="s">
        <v>30</v>
      </c>
      <c r="O174" s="198" t="s">
        <v>31</v>
      </c>
      <c r="P174" s="49">
        <v>2331</v>
      </c>
      <c r="Q174" s="18" t="str">
        <f t="shared" si="2"/>
        <v xml:space="preserve">BM BB01 _ A _ Turbidimétrie _ Quantitatif _ Automatisée _ 2 _ Cobas Pro Roche
</v>
      </c>
      <c r="R174" s="286"/>
    </row>
    <row r="175" spans="1:18" ht="78" customHeight="1" x14ac:dyDescent="0.2">
      <c r="A175" s="14" t="s">
        <v>20</v>
      </c>
      <c r="B175" s="19" t="s">
        <v>21</v>
      </c>
      <c r="C175" s="23" t="s">
        <v>22</v>
      </c>
      <c r="D175" s="23" t="s">
        <v>23</v>
      </c>
      <c r="E175" s="204" t="s">
        <v>425</v>
      </c>
      <c r="F175" s="204" t="s">
        <v>421</v>
      </c>
      <c r="G175" s="204" t="s">
        <v>426</v>
      </c>
      <c r="H175" s="197" t="s">
        <v>27</v>
      </c>
      <c r="I175" s="201" t="s">
        <v>28</v>
      </c>
      <c r="J175" s="198">
        <v>2</v>
      </c>
      <c r="K175" s="275" t="s">
        <v>1563</v>
      </c>
      <c r="L175" s="277" t="s">
        <v>427</v>
      </c>
      <c r="M175" s="276" t="s">
        <v>1634</v>
      </c>
      <c r="N175" s="204" t="s">
        <v>30</v>
      </c>
      <c r="O175" s="198" t="s">
        <v>31</v>
      </c>
      <c r="P175" s="49">
        <v>2310</v>
      </c>
      <c r="Q175" s="18" t="str">
        <f t="shared" si="2"/>
        <v xml:space="preserve">BM BB01 _ A _ Enzymatique  _ Quantitatif _ Automatisée _ 2 _ Cobas Pro Roche
</v>
      </c>
      <c r="R175" s="286"/>
    </row>
    <row r="176" spans="1:18" ht="51" x14ac:dyDescent="0.2">
      <c r="A176" s="14" t="s">
        <v>20</v>
      </c>
      <c r="B176" s="19" t="s">
        <v>21</v>
      </c>
      <c r="C176" s="23" t="s">
        <v>22</v>
      </c>
      <c r="D176" s="23" t="s">
        <v>23</v>
      </c>
      <c r="E176" s="204" t="s">
        <v>428</v>
      </c>
      <c r="F176" s="204" t="s">
        <v>25</v>
      </c>
      <c r="G176" s="204" t="s">
        <v>429</v>
      </c>
      <c r="H176" s="197" t="s">
        <v>27</v>
      </c>
      <c r="I176" s="201" t="s">
        <v>28</v>
      </c>
      <c r="J176" s="198">
        <v>1</v>
      </c>
      <c r="K176" s="246" t="s">
        <v>1563</v>
      </c>
      <c r="L176" s="55" t="s">
        <v>430</v>
      </c>
      <c r="M176" s="203" t="s">
        <v>1564</v>
      </c>
      <c r="N176" s="204" t="s">
        <v>30</v>
      </c>
      <c r="O176" s="198" t="s">
        <v>31</v>
      </c>
      <c r="P176" s="49">
        <v>27</v>
      </c>
      <c r="Q176" s="18" t="str">
        <f t="shared" si="2"/>
        <v xml:space="preserve">BM BB01 _ A _ Colorimétrique _ Quantitatif _ Automatisée _ 1 _ Cobas Pro Roche
</v>
      </c>
      <c r="R176" s="286"/>
    </row>
    <row r="177" spans="1:18" ht="51" x14ac:dyDescent="0.2">
      <c r="A177" s="14" t="s">
        <v>20</v>
      </c>
      <c r="B177" s="19" t="s">
        <v>21</v>
      </c>
      <c r="C177" s="23" t="s">
        <v>22</v>
      </c>
      <c r="D177" s="23" t="s">
        <v>23</v>
      </c>
      <c r="E177" s="204" t="s">
        <v>431</v>
      </c>
      <c r="F177" s="204" t="s">
        <v>25</v>
      </c>
      <c r="G177" s="204" t="s">
        <v>426</v>
      </c>
      <c r="H177" s="197" t="s">
        <v>27</v>
      </c>
      <c r="I177" s="201" t="s">
        <v>28</v>
      </c>
      <c r="J177" s="198">
        <v>1</v>
      </c>
      <c r="K177" s="246" t="s">
        <v>1563</v>
      </c>
      <c r="L177" s="55" t="s">
        <v>432</v>
      </c>
      <c r="M177" s="203" t="s">
        <v>1564</v>
      </c>
      <c r="N177" s="204" t="s">
        <v>30</v>
      </c>
      <c r="O177" s="198" t="s">
        <v>31</v>
      </c>
      <c r="P177" s="49">
        <v>686</v>
      </c>
      <c r="Q177" s="18" t="str">
        <f t="shared" si="2"/>
        <v xml:space="preserve">BM BB01 _ A _ Enzymatique  _ Quantitatif _ Automatisée _ 1 _ Cobas Pro Roche
</v>
      </c>
      <c r="R177" s="286"/>
    </row>
    <row r="178" spans="1:18" ht="51" x14ac:dyDescent="0.2">
      <c r="A178" s="14" t="s">
        <v>20</v>
      </c>
      <c r="B178" s="14" t="s">
        <v>21</v>
      </c>
      <c r="C178" s="23" t="s">
        <v>22</v>
      </c>
      <c r="D178" s="23" t="s">
        <v>23</v>
      </c>
      <c r="E178" s="204" t="s">
        <v>433</v>
      </c>
      <c r="F178" s="204" t="s">
        <v>292</v>
      </c>
      <c r="G178" s="204" t="s">
        <v>434</v>
      </c>
      <c r="H178" s="197" t="s">
        <v>27</v>
      </c>
      <c r="I178" s="197" t="s">
        <v>28</v>
      </c>
      <c r="J178" s="198">
        <v>1</v>
      </c>
      <c r="K178" s="218" t="s">
        <v>299</v>
      </c>
      <c r="L178" s="218" t="s">
        <v>435</v>
      </c>
      <c r="M178" s="198"/>
      <c r="N178" s="204" t="s">
        <v>30</v>
      </c>
      <c r="O178" s="198" t="s">
        <v>31</v>
      </c>
      <c r="P178" s="49">
        <v>213</v>
      </c>
      <c r="Q178" s="18" t="str">
        <f t="shared" si="2"/>
        <v>BM BB01 _ A _ Turbidimétrie  _ Quantitatif _ Automatisée _ 1 _ Optilite de The Binding Site</v>
      </c>
      <c r="R178" s="286"/>
    </row>
    <row r="179" spans="1:18" ht="89.25" x14ac:dyDescent="0.2">
      <c r="A179" s="14" t="s">
        <v>20</v>
      </c>
      <c r="B179" s="14" t="s">
        <v>21</v>
      </c>
      <c r="C179" s="45" t="s">
        <v>22</v>
      </c>
      <c r="D179" s="45" t="s">
        <v>23</v>
      </c>
      <c r="E179" s="204" t="s">
        <v>436</v>
      </c>
      <c r="F179" s="204" t="s">
        <v>25</v>
      </c>
      <c r="G179" s="204" t="s">
        <v>437</v>
      </c>
      <c r="H179" s="197" t="s">
        <v>27</v>
      </c>
      <c r="I179" s="197" t="s">
        <v>28</v>
      </c>
      <c r="J179" s="198">
        <v>1</v>
      </c>
      <c r="K179" s="205" t="s">
        <v>438</v>
      </c>
      <c r="L179" s="205" t="s">
        <v>439</v>
      </c>
      <c r="M179" s="198"/>
      <c r="N179" s="204" t="s">
        <v>30</v>
      </c>
      <c r="O179" s="198" t="s">
        <v>31</v>
      </c>
      <c r="P179" s="49">
        <v>574</v>
      </c>
      <c r="Q179" s="18" t="str">
        <f t="shared" si="2"/>
        <v>BM BB01 _ A _ Chimiluminescence, methode par compétition en utilisant un anticorps monoclonal _ Quantitatif _ Automatisée _ 1 _ DiaSorin Liaison XL</v>
      </c>
      <c r="R179" s="286"/>
    </row>
    <row r="180" spans="1:18" ht="51" x14ac:dyDescent="0.2">
      <c r="A180" s="14" t="s">
        <v>20</v>
      </c>
      <c r="B180" s="14" t="s">
        <v>21</v>
      </c>
      <c r="C180" s="45" t="s">
        <v>22</v>
      </c>
      <c r="D180" s="45" t="s">
        <v>23</v>
      </c>
      <c r="E180" s="204" t="s">
        <v>440</v>
      </c>
      <c r="F180" s="204" t="s">
        <v>25</v>
      </c>
      <c r="G180" s="204" t="s">
        <v>391</v>
      </c>
      <c r="H180" s="197" t="s">
        <v>27</v>
      </c>
      <c r="I180" s="197" t="s">
        <v>28</v>
      </c>
      <c r="J180" s="198">
        <v>1</v>
      </c>
      <c r="K180" s="205" t="s">
        <v>438</v>
      </c>
      <c r="L180" s="205" t="s">
        <v>441</v>
      </c>
      <c r="M180" s="198"/>
      <c r="N180" s="204" t="s">
        <v>30</v>
      </c>
      <c r="O180" s="198" t="s">
        <v>31</v>
      </c>
      <c r="P180" s="49">
        <v>102</v>
      </c>
      <c r="Q180" s="18" t="str">
        <f t="shared" si="2"/>
        <v>BM BB01 _ A _ Chimiluminescence _ Quantitatif _ Automatisée _ 1 _ DiaSorin Liaison XL</v>
      </c>
      <c r="R180" s="286"/>
    </row>
    <row r="181" spans="1:18" ht="191.25" x14ac:dyDescent="0.2">
      <c r="A181" s="14" t="s">
        <v>20</v>
      </c>
      <c r="B181" s="14" t="s">
        <v>21</v>
      </c>
      <c r="C181" s="45" t="s">
        <v>22</v>
      </c>
      <c r="D181" s="45" t="s">
        <v>23</v>
      </c>
      <c r="E181" s="204" t="s">
        <v>442</v>
      </c>
      <c r="F181" s="204" t="s">
        <v>25</v>
      </c>
      <c r="G181" s="204" t="s">
        <v>443</v>
      </c>
      <c r="H181" s="197" t="s">
        <v>27</v>
      </c>
      <c r="I181" s="197" t="s">
        <v>28</v>
      </c>
      <c r="J181" s="198">
        <v>1</v>
      </c>
      <c r="K181" s="205" t="s">
        <v>438</v>
      </c>
      <c r="L181" s="205" t="s">
        <v>444</v>
      </c>
      <c r="M181" s="198"/>
      <c r="N181" s="204" t="s">
        <v>30</v>
      </c>
      <c r="O181" s="198" t="s">
        <v>31</v>
      </c>
      <c r="P181" s="49">
        <v>539</v>
      </c>
      <c r="Q181" s="18" t="str">
        <f t="shared" si="2"/>
        <v>BM BB01 _ A _ Chimiluminescence, méthode sandwich utilisant deux anticorps monoclonaux reconnaissant l'isoforme osseuse de la phosphatase alcaline _ Quantitatif _ Automatisée _ 1 _ DiaSorin Liaison XL</v>
      </c>
      <c r="R181" s="286"/>
    </row>
    <row r="182" spans="1:18" ht="51" x14ac:dyDescent="0.2">
      <c r="A182" s="14" t="s">
        <v>20</v>
      </c>
      <c r="B182" s="14" t="s">
        <v>21</v>
      </c>
      <c r="C182" s="45" t="s">
        <v>22</v>
      </c>
      <c r="D182" s="45" t="s">
        <v>23</v>
      </c>
      <c r="E182" s="204" t="s">
        <v>445</v>
      </c>
      <c r="F182" s="204" t="s">
        <v>25</v>
      </c>
      <c r="G182" s="204" t="s">
        <v>391</v>
      </c>
      <c r="H182" s="197" t="s">
        <v>27</v>
      </c>
      <c r="I182" s="197" t="s">
        <v>28</v>
      </c>
      <c r="J182" s="198">
        <v>1</v>
      </c>
      <c r="K182" s="205" t="s">
        <v>438</v>
      </c>
      <c r="L182" s="205" t="s">
        <v>446</v>
      </c>
      <c r="M182" s="198"/>
      <c r="N182" s="204" t="s">
        <v>30</v>
      </c>
      <c r="O182" s="198" t="s">
        <v>31</v>
      </c>
      <c r="P182" s="49">
        <v>299</v>
      </c>
      <c r="Q182" s="18" t="str">
        <f t="shared" si="2"/>
        <v>BM BB01 _ A _ Chimiluminescence _ Quantitatif _ Automatisée _ 1 _ DiaSorin Liaison XL</v>
      </c>
      <c r="R182" s="286"/>
    </row>
    <row r="183" spans="1:18" ht="89.25" x14ac:dyDescent="0.2">
      <c r="A183" s="14" t="s">
        <v>20</v>
      </c>
      <c r="B183" s="14" t="s">
        <v>21</v>
      </c>
      <c r="C183" s="45" t="s">
        <v>22</v>
      </c>
      <c r="D183" s="45" t="s">
        <v>23</v>
      </c>
      <c r="E183" s="204" t="s">
        <v>447</v>
      </c>
      <c r="F183" s="204" t="s">
        <v>25</v>
      </c>
      <c r="G183" s="204" t="s">
        <v>448</v>
      </c>
      <c r="H183" s="197" t="s">
        <v>27</v>
      </c>
      <c r="I183" s="197" t="s">
        <v>28</v>
      </c>
      <c r="J183" s="198">
        <v>1</v>
      </c>
      <c r="K183" s="205" t="s">
        <v>438</v>
      </c>
      <c r="L183" s="205" t="s">
        <v>449</v>
      </c>
      <c r="M183" s="198"/>
      <c r="N183" s="204" t="s">
        <v>30</v>
      </c>
      <c r="O183" s="198" t="s">
        <v>31</v>
      </c>
      <c r="P183" s="49">
        <v>651</v>
      </c>
      <c r="Q183" s="18" t="str">
        <f t="shared" si="2"/>
        <v>BM BB01 _ A _ Chimiluminescence, méthode par compétition utilisant un anticorps monoclona _ Quantitatif _ Automatisée _ 1 _ DiaSorin Liaison XL</v>
      </c>
      <c r="R183" s="286"/>
    </row>
    <row r="184" spans="1:18" ht="51" x14ac:dyDescent="0.2">
      <c r="A184" s="14" t="s">
        <v>20</v>
      </c>
      <c r="B184" s="14" t="s">
        <v>21</v>
      </c>
      <c r="C184" s="45" t="s">
        <v>22</v>
      </c>
      <c r="D184" s="45" t="s">
        <v>23</v>
      </c>
      <c r="E184" s="204" t="s">
        <v>450</v>
      </c>
      <c r="F184" s="204" t="s">
        <v>292</v>
      </c>
      <c r="G184" s="204" t="s">
        <v>343</v>
      </c>
      <c r="H184" s="197" t="s">
        <v>27</v>
      </c>
      <c r="I184" s="197" t="s">
        <v>28</v>
      </c>
      <c r="J184" s="198">
        <v>1</v>
      </c>
      <c r="K184" s="205" t="s">
        <v>299</v>
      </c>
      <c r="L184" s="205" t="s">
        <v>451</v>
      </c>
      <c r="M184" s="198"/>
      <c r="N184" s="204" t="s">
        <v>30</v>
      </c>
      <c r="O184" s="198" t="s">
        <v>31</v>
      </c>
      <c r="P184" s="49">
        <v>4090</v>
      </c>
      <c r="Q184" s="18" t="str">
        <f t="shared" si="2"/>
        <v>BM BB01 _ A _ Turbidimétrie _ Quantitatif _ Automatisée _ 1 _ Optilite de The Binding Site</v>
      </c>
      <c r="R184" s="286"/>
    </row>
    <row r="185" spans="1:18" ht="51" x14ac:dyDescent="0.2">
      <c r="A185" s="14" t="s">
        <v>20</v>
      </c>
      <c r="B185" s="14" t="s">
        <v>21</v>
      </c>
      <c r="C185" s="45" t="s">
        <v>22</v>
      </c>
      <c r="D185" s="45" t="s">
        <v>23</v>
      </c>
      <c r="E185" s="204" t="s">
        <v>452</v>
      </c>
      <c r="F185" s="204" t="s">
        <v>292</v>
      </c>
      <c r="G185" s="204" t="s">
        <v>343</v>
      </c>
      <c r="H185" s="197" t="s">
        <v>27</v>
      </c>
      <c r="I185" s="197" t="s">
        <v>28</v>
      </c>
      <c r="J185" s="198">
        <v>1</v>
      </c>
      <c r="K185" s="197" t="s">
        <v>299</v>
      </c>
      <c r="L185" s="197" t="s">
        <v>380</v>
      </c>
      <c r="M185" s="267"/>
      <c r="N185" s="204" t="s">
        <v>30</v>
      </c>
      <c r="O185" s="198" t="s">
        <v>31</v>
      </c>
      <c r="P185" s="208" t="s">
        <v>453</v>
      </c>
      <c r="Q185" s="18" t="str">
        <f t="shared" si="2"/>
        <v>BM BB01 _ A _ Turbidimétrie _ Quantitatif _ Automatisée _ 1 _ Optilite de The Binding Site</v>
      </c>
      <c r="R185" s="286"/>
    </row>
    <row r="186" spans="1:18" ht="51" x14ac:dyDescent="0.2">
      <c r="A186" s="14" t="s">
        <v>20</v>
      </c>
      <c r="B186" s="50" t="s">
        <v>21</v>
      </c>
      <c r="C186" s="51" t="s">
        <v>22</v>
      </c>
      <c r="D186" s="51" t="s">
        <v>23</v>
      </c>
      <c r="E186" s="216" t="s">
        <v>454</v>
      </c>
      <c r="F186" s="216" t="s">
        <v>292</v>
      </c>
      <c r="G186" s="216" t="s">
        <v>343</v>
      </c>
      <c r="H186" s="210" t="s">
        <v>27</v>
      </c>
      <c r="I186" s="210" t="s">
        <v>28</v>
      </c>
      <c r="J186" s="211">
        <v>1</v>
      </c>
      <c r="K186" s="210" t="s">
        <v>299</v>
      </c>
      <c r="L186" s="210" t="s">
        <v>380</v>
      </c>
      <c r="M186" s="269"/>
      <c r="N186" s="216" t="s">
        <v>30</v>
      </c>
      <c r="O186" s="211" t="s">
        <v>31</v>
      </c>
      <c r="P186" s="208" t="s">
        <v>453</v>
      </c>
      <c r="Q186" s="18" t="str">
        <f t="shared" si="2"/>
        <v>BM BB01 _ A _ Turbidimétrie _ Quantitatif _ Automatisée _ 1 _ Optilite de The Binding Site</v>
      </c>
      <c r="R186" s="286"/>
    </row>
    <row r="187" spans="1:18" ht="51" x14ac:dyDescent="0.2">
      <c r="A187" s="14" t="s">
        <v>20</v>
      </c>
      <c r="B187" s="50" t="s">
        <v>21</v>
      </c>
      <c r="C187" s="51" t="s">
        <v>22</v>
      </c>
      <c r="D187" s="51" t="s">
        <v>23</v>
      </c>
      <c r="E187" s="216" t="s">
        <v>455</v>
      </c>
      <c r="F187" s="216" t="s">
        <v>25</v>
      </c>
      <c r="G187" s="216" t="s">
        <v>408</v>
      </c>
      <c r="H187" s="210" t="s">
        <v>27</v>
      </c>
      <c r="I187" s="210" t="s">
        <v>28</v>
      </c>
      <c r="J187" s="211">
        <v>1</v>
      </c>
      <c r="K187" s="219" t="s">
        <v>349</v>
      </c>
      <c r="L187" s="219" t="s">
        <v>456</v>
      </c>
      <c r="M187" s="211"/>
      <c r="N187" s="216" t="s">
        <v>30</v>
      </c>
      <c r="O187" s="211" t="s">
        <v>31</v>
      </c>
      <c r="P187" s="52">
        <v>329</v>
      </c>
      <c r="Q187" s="18" t="str">
        <f t="shared" si="2"/>
        <v xml:space="preserve">BM BB01 _ A _ Technologie TRACE _ Quantitatif _ Automatisée _ 1 _ Automate Kryptor Compact Plus (societé Thermo Scientific) </v>
      </c>
      <c r="R187" s="286"/>
    </row>
    <row r="188" spans="1:18" ht="63.75" x14ac:dyDescent="0.2">
      <c r="A188" s="14" t="s">
        <v>20</v>
      </c>
      <c r="B188" s="50" t="s">
        <v>21</v>
      </c>
      <c r="C188" s="51" t="s">
        <v>22</v>
      </c>
      <c r="D188" s="51" t="s">
        <v>23</v>
      </c>
      <c r="E188" s="216" t="s">
        <v>457</v>
      </c>
      <c r="F188" s="216" t="s">
        <v>292</v>
      </c>
      <c r="G188" s="216" t="s">
        <v>343</v>
      </c>
      <c r="H188" s="210" t="s">
        <v>27</v>
      </c>
      <c r="I188" s="210" t="s">
        <v>28</v>
      </c>
      <c r="J188" s="211">
        <v>1</v>
      </c>
      <c r="K188" s="275" t="s">
        <v>1563</v>
      </c>
      <c r="L188" s="278" t="s">
        <v>424</v>
      </c>
      <c r="M188" s="276" t="s">
        <v>1634</v>
      </c>
      <c r="N188" s="216" t="s">
        <v>30</v>
      </c>
      <c r="O188" s="211" t="s">
        <v>31</v>
      </c>
      <c r="P188" s="52">
        <v>19811</v>
      </c>
      <c r="Q188" s="18" t="str">
        <f t="shared" si="2"/>
        <v xml:space="preserve">BM BB01 _ A _ Turbidimétrie _ Quantitatif _ Automatisée _ 1 _ Cobas Pro Roche
</v>
      </c>
      <c r="R188" s="286"/>
    </row>
    <row r="189" spans="1:18" ht="63.75" x14ac:dyDescent="0.2">
      <c r="A189" s="14" t="s">
        <v>20</v>
      </c>
      <c r="B189" s="50" t="s">
        <v>21</v>
      </c>
      <c r="C189" s="51" t="s">
        <v>22</v>
      </c>
      <c r="D189" s="51" t="s">
        <v>23</v>
      </c>
      <c r="E189" s="216" t="s">
        <v>458</v>
      </c>
      <c r="F189" s="216" t="s">
        <v>25</v>
      </c>
      <c r="G189" s="216" t="s">
        <v>429</v>
      </c>
      <c r="H189" s="210" t="s">
        <v>27</v>
      </c>
      <c r="I189" s="210" t="s">
        <v>28</v>
      </c>
      <c r="J189" s="211">
        <v>2</v>
      </c>
      <c r="K189" s="247" t="s">
        <v>1563</v>
      </c>
      <c r="L189" s="278" t="s">
        <v>459</v>
      </c>
      <c r="M189" s="276" t="s">
        <v>1634</v>
      </c>
      <c r="N189" s="216" t="s">
        <v>30</v>
      </c>
      <c r="O189" s="211" t="s">
        <v>31</v>
      </c>
      <c r="P189" s="52">
        <v>137</v>
      </c>
      <c r="Q189" s="18" t="str">
        <f t="shared" si="2"/>
        <v xml:space="preserve">BM BB01 _ A _ Colorimétrique _ Quantitatif _ Automatisée _ 2 _ Cobas Pro Roche
</v>
      </c>
      <c r="R189" s="286"/>
    </row>
    <row r="190" spans="1:18" ht="51" x14ac:dyDescent="0.2">
      <c r="A190" s="14" t="s">
        <v>20</v>
      </c>
      <c r="B190" s="50" t="s">
        <v>21</v>
      </c>
      <c r="C190" s="51" t="s">
        <v>22</v>
      </c>
      <c r="D190" s="51" t="s">
        <v>23</v>
      </c>
      <c r="E190" s="216" t="s">
        <v>460</v>
      </c>
      <c r="F190" s="216" t="s">
        <v>292</v>
      </c>
      <c r="G190" s="216" t="s">
        <v>413</v>
      </c>
      <c r="H190" s="210" t="s">
        <v>27</v>
      </c>
      <c r="I190" s="210" t="s">
        <v>28</v>
      </c>
      <c r="J190" s="211">
        <v>1</v>
      </c>
      <c r="K190" s="219" t="s">
        <v>414</v>
      </c>
      <c r="L190" s="219" t="s">
        <v>415</v>
      </c>
      <c r="M190" s="211"/>
      <c r="N190" s="216" t="s">
        <v>30</v>
      </c>
      <c r="O190" s="211" t="s">
        <v>31</v>
      </c>
      <c r="P190" s="52">
        <v>1004</v>
      </c>
      <c r="Q190" s="18" t="str">
        <f t="shared" si="2"/>
        <v xml:space="preserve">BM BB01 _ A _ Cryoscopie _ Quantitatif _ Automatisée _ 1 _ OsmoPro® </v>
      </c>
      <c r="R190" s="286"/>
    </row>
    <row r="191" spans="1:18" ht="51" x14ac:dyDescent="0.2">
      <c r="A191" s="14" t="s">
        <v>20</v>
      </c>
      <c r="B191" s="50" t="s">
        <v>21</v>
      </c>
      <c r="C191" s="51" t="s">
        <v>22</v>
      </c>
      <c r="D191" s="51" t="s">
        <v>23</v>
      </c>
      <c r="E191" s="216" t="s">
        <v>461</v>
      </c>
      <c r="F191" s="216" t="s">
        <v>25</v>
      </c>
      <c r="G191" s="216" t="s">
        <v>343</v>
      </c>
      <c r="H191" s="210" t="s">
        <v>27</v>
      </c>
      <c r="I191" s="210" t="s">
        <v>28</v>
      </c>
      <c r="J191" s="211">
        <v>1</v>
      </c>
      <c r="K191" s="219" t="s">
        <v>299</v>
      </c>
      <c r="L191" s="219" t="s">
        <v>462</v>
      </c>
      <c r="M191" s="211"/>
      <c r="N191" s="216" t="s">
        <v>30</v>
      </c>
      <c r="O191" s="211" t="s">
        <v>31</v>
      </c>
      <c r="P191" s="52">
        <v>196</v>
      </c>
      <c r="Q191" s="18" t="str">
        <f t="shared" si="2"/>
        <v>BM BB01 _ A _ Turbidimétrie _ Quantitatif _ Automatisée _ 1 _ Optilite de The Binding Site</v>
      </c>
      <c r="R191" s="286"/>
    </row>
    <row r="192" spans="1:18" ht="89.25" customHeight="1" x14ac:dyDescent="0.2">
      <c r="A192" s="14" t="s">
        <v>20</v>
      </c>
      <c r="B192" s="50" t="s">
        <v>21</v>
      </c>
      <c r="C192" s="51" t="s">
        <v>22</v>
      </c>
      <c r="D192" s="51" t="s">
        <v>23</v>
      </c>
      <c r="E192" s="216" t="s">
        <v>463</v>
      </c>
      <c r="F192" s="216" t="s">
        <v>25</v>
      </c>
      <c r="G192" s="216" t="s">
        <v>343</v>
      </c>
      <c r="H192" s="210" t="s">
        <v>27</v>
      </c>
      <c r="I192" s="210" t="s">
        <v>28</v>
      </c>
      <c r="J192" s="211">
        <v>1</v>
      </c>
      <c r="K192" s="219" t="s">
        <v>299</v>
      </c>
      <c r="L192" s="219" t="s">
        <v>464</v>
      </c>
      <c r="M192" s="211"/>
      <c r="N192" s="216" t="s">
        <v>30</v>
      </c>
      <c r="O192" s="211" t="s">
        <v>31</v>
      </c>
      <c r="P192" s="52">
        <v>80</v>
      </c>
      <c r="Q192" s="18" t="str">
        <f t="shared" si="2"/>
        <v>BM BB01 _ A _ Turbidimétrie _ Quantitatif _ Automatisée _ 1 _ Optilite de The Binding Site</v>
      </c>
      <c r="R192" s="286"/>
    </row>
    <row r="193" spans="1:18" ht="63.75" x14ac:dyDescent="0.2">
      <c r="A193" s="14" t="s">
        <v>20</v>
      </c>
      <c r="B193" s="14" t="s">
        <v>21</v>
      </c>
      <c r="C193" s="45" t="s">
        <v>22</v>
      </c>
      <c r="D193" s="45" t="s">
        <v>23</v>
      </c>
      <c r="E193" s="205" t="s">
        <v>465</v>
      </c>
      <c r="F193" s="205" t="s">
        <v>292</v>
      </c>
      <c r="G193" s="206" t="s">
        <v>106</v>
      </c>
      <c r="H193" s="206" t="s">
        <v>27</v>
      </c>
      <c r="I193" s="206" t="s">
        <v>28</v>
      </c>
      <c r="J193" s="207">
        <v>2</v>
      </c>
      <c r="K193" s="275" t="s">
        <v>1563</v>
      </c>
      <c r="L193" s="279" t="s">
        <v>466</v>
      </c>
      <c r="M193" s="276" t="s">
        <v>1634</v>
      </c>
      <c r="N193" s="205" t="s">
        <v>30</v>
      </c>
      <c r="O193" s="198" t="s">
        <v>31</v>
      </c>
      <c r="P193" s="49">
        <v>4900</v>
      </c>
      <c r="Q193" s="18" t="str">
        <f t="shared" si="2"/>
        <v xml:space="preserve">BM BB01 _ A _ Enzymatique _ Quantitatif _ Automatisée _ 2 _ Cobas Pro Roche
</v>
      </c>
      <c r="R193" s="286"/>
    </row>
    <row r="194" spans="1:18" ht="63.75" x14ac:dyDescent="0.2">
      <c r="A194" s="14" t="s">
        <v>20</v>
      </c>
      <c r="B194" s="14" t="s">
        <v>21</v>
      </c>
      <c r="C194" s="45" t="s">
        <v>22</v>
      </c>
      <c r="D194" s="45" t="s">
        <v>23</v>
      </c>
      <c r="E194" s="205" t="s">
        <v>467</v>
      </c>
      <c r="F194" s="205" t="s">
        <v>292</v>
      </c>
      <c r="G194" s="206" t="s">
        <v>106</v>
      </c>
      <c r="H194" s="206" t="s">
        <v>27</v>
      </c>
      <c r="I194" s="206" t="s">
        <v>28</v>
      </c>
      <c r="J194" s="207">
        <v>2</v>
      </c>
      <c r="K194" s="275" t="s">
        <v>1563</v>
      </c>
      <c r="L194" s="279" t="s">
        <v>101</v>
      </c>
      <c r="M194" s="276" t="s">
        <v>1634</v>
      </c>
      <c r="N194" s="219" t="s">
        <v>30</v>
      </c>
      <c r="O194" s="198" t="s">
        <v>31</v>
      </c>
      <c r="P194" s="49">
        <v>1134</v>
      </c>
      <c r="Q194" s="18" t="str">
        <f t="shared" si="2"/>
        <v xml:space="preserve">BM BB01 _ A _ Enzymatique _ Quantitatif _ Automatisée _ 2 _ Cobas Pro Roche
</v>
      </c>
      <c r="R194" s="286"/>
    </row>
    <row r="195" spans="1:18" ht="63.75" x14ac:dyDescent="0.2">
      <c r="A195" s="14" t="s">
        <v>20</v>
      </c>
      <c r="B195" s="14" t="s">
        <v>21</v>
      </c>
      <c r="C195" s="45" t="s">
        <v>22</v>
      </c>
      <c r="D195" s="45" t="s">
        <v>23</v>
      </c>
      <c r="E195" s="205" t="s">
        <v>468</v>
      </c>
      <c r="F195" s="205" t="s">
        <v>292</v>
      </c>
      <c r="G195" s="206" t="s">
        <v>469</v>
      </c>
      <c r="H195" s="206" t="s">
        <v>27</v>
      </c>
      <c r="I195" s="206" t="s">
        <v>28</v>
      </c>
      <c r="J195" s="207">
        <v>2</v>
      </c>
      <c r="K195" s="275" t="s">
        <v>1563</v>
      </c>
      <c r="L195" s="279" t="s">
        <v>470</v>
      </c>
      <c r="M195" s="276" t="s">
        <v>1634</v>
      </c>
      <c r="N195" s="219" t="s">
        <v>30</v>
      </c>
      <c r="O195" s="198" t="s">
        <v>31</v>
      </c>
      <c r="P195" s="49">
        <v>1521</v>
      </c>
      <c r="Q195" s="18" t="str">
        <f t="shared" si="2"/>
        <v xml:space="preserve">BM BB01 _ A _ Spectrophotométrique _ Quantitatif _ Automatisée _ 2 _ Cobas Pro Roche
</v>
      </c>
      <c r="R195" s="286"/>
    </row>
    <row r="196" spans="1:18" ht="63.75" x14ac:dyDescent="0.2">
      <c r="A196" s="14" t="s">
        <v>20</v>
      </c>
      <c r="B196" s="14" t="s">
        <v>21</v>
      </c>
      <c r="C196" s="45" t="s">
        <v>22</v>
      </c>
      <c r="D196" s="45" t="s">
        <v>23</v>
      </c>
      <c r="E196" s="205" t="s">
        <v>471</v>
      </c>
      <c r="F196" s="205" t="s">
        <v>292</v>
      </c>
      <c r="G196" s="206" t="s">
        <v>106</v>
      </c>
      <c r="H196" s="206" t="s">
        <v>27</v>
      </c>
      <c r="I196" s="206" t="s">
        <v>28</v>
      </c>
      <c r="J196" s="207">
        <v>2</v>
      </c>
      <c r="K196" s="275" t="s">
        <v>1563</v>
      </c>
      <c r="L196" s="279" t="s">
        <v>107</v>
      </c>
      <c r="M196" s="276" t="s">
        <v>1634</v>
      </c>
      <c r="N196" s="219" t="s">
        <v>30</v>
      </c>
      <c r="O196" s="198" t="s">
        <v>31</v>
      </c>
      <c r="P196" s="49">
        <v>4813</v>
      </c>
      <c r="Q196" s="18" t="str">
        <f t="shared" si="2"/>
        <v xml:space="preserve">BM BB01 _ A _ Enzymatique _ Quantitatif _ Automatisée _ 2 _ Cobas Pro Roche
</v>
      </c>
      <c r="R196" s="286"/>
    </row>
    <row r="197" spans="1:18" ht="93" customHeight="1" x14ac:dyDescent="0.2">
      <c r="A197" s="14" t="s">
        <v>20</v>
      </c>
      <c r="B197" s="14" t="s">
        <v>21</v>
      </c>
      <c r="C197" s="45" t="s">
        <v>22</v>
      </c>
      <c r="D197" s="45" t="s">
        <v>23</v>
      </c>
      <c r="E197" s="205" t="s">
        <v>472</v>
      </c>
      <c r="F197" s="205" t="s">
        <v>292</v>
      </c>
      <c r="G197" s="206" t="s">
        <v>473</v>
      </c>
      <c r="H197" s="206" t="s">
        <v>27</v>
      </c>
      <c r="I197" s="206" t="s">
        <v>28</v>
      </c>
      <c r="J197" s="207">
        <v>2</v>
      </c>
      <c r="K197" s="275" t="s">
        <v>1563</v>
      </c>
      <c r="L197" s="279" t="s">
        <v>104</v>
      </c>
      <c r="M197" s="276" t="s">
        <v>1634</v>
      </c>
      <c r="N197" s="219" t="s">
        <v>30</v>
      </c>
      <c r="O197" s="198" t="s">
        <v>31</v>
      </c>
      <c r="P197" s="49">
        <v>670</v>
      </c>
      <c r="Q197" s="18" t="str">
        <f t="shared" si="2"/>
        <v xml:space="preserve">BM BB01 _ A _ Test photométrique - Molybdate UV _ Quantitatif _ Automatisée _ 2 _ Cobas Pro Roche
</v>
      </c>
      <c r="R197" s="286"/>
    </row>
    <row r="198" spans="1:18" ht="63.75" x14ac:dyDescent="0.2">
      <c r="A198" s="14" t="s">
        <v>20</v>
      </c>
      <c r="B198" s="14" t="s">
        <v>21</v>
      </c>
      <c r="C198" s="45" t="s">
        <v>22</v>
      </c>
      <c r="D198" s="45" t="s">
        <v>23</v>
      </c>
      <c r="E198" s="205" t="s">
        <v>474</v>
      </c>
      <c r="F198" s="205" t="s">
        <v>292</v>
      </c>
      <c r="G198" s="206" t="s">
        <v>469</v>
      </c>
      <c r="H198" s="206" t="s">
        <v>27</v>
      </c>
      <c r="I198" s="206" t="s">
        <v>28</v>
      </c>
      <c r="J198" s="207">
        <v>2</v>
      </c>
      <c r="K198" s="275" t="s">
        <v>1563</v>
      </c>
      <c r="L198" s="279" t="s">
        <v>475</v>
      </c>
      <c r="M198" s="276" t="s">
        <v>1634</v>
      </c>
      <c r="N198" s="205" t="s">
        <v>30</v>
      </c>
      <c r="O198" s="198" t="s">
        <v>31</v>
      </c>
      <c r="P198" s="49">
        <v>264</v>
      </c>
      <c r="Q198" s="18" t="str">
        <f t="shared" si="2"/>
        <v xml:space="preserve">BM BB01 _ A _ Spectrophotométrique _ Quantitatif _ Automatisée _ 2 _ Cobas Pro Roche
</v>
      </c>
      <c r="R198" s="286"/>
    </row>
    <row r="199" spans="1:18" ht="63.75" x14ac:dyDescent="0.2">
      <c r="A199" s="14" t="s">
        <v>20</v>
      </c>
      <c r="B199" s="43" t="s">
        <v>21</v>
      </c>
      <c r="C199" s="43" t="s">
        <v>22</v>
      </c>
      <c r="D199" s="44" t="s">
        <v>23</v>
      </c>
      <c r="E199" s="205" t="s">
        <v>476</v>
      </c>
      <c r="F199" s="205" t="s">
        <v>477</v>
      </c>
      <c r="G199" s="206" t="s">
        <v>47</v>
      </c>
      <c r="H199" s="206" t="s">
        <v>27</v>
      </c>
      <c r="I199" s="206" t="s">
        <v>28</v>
      </c>
      <c r="J199" s="207">
        <v>2</v>
      </c>
      <c r="K199" s="275" t="s">
        <v>1563</v>
      </c>
      <c r="L199" s="279" t="s">
        <v>478</v>
      </c>
      <c r="M199" s="276" t="s">
        <v>1634</v>
      </c>
      <c r="N199" s="219" t="s">
        <v>30</v>
      </c>
      <c r="O199" s="207" t="s">
        <v>184</v>
      </c>
      <c r="P199" s="53">
        <v>461</v>
      </c>
      <c r="Q199" s="18" t="str">
        <f t="shared" si="2"/>
        <v xml:space="preserve">BM BB01 _ B _ Colorimétrie enzymatique _ Quantitatif _ Automatisée _ 2 _ Cobas Pro Roche
</v>
      </c>
      <c r="R199" s="286"/>
    </row>
    <row r="200" spans="1:18" ht="63.75" x14ac:dyDescent="0.2">
      <c r="A200" s="14" t="s">
        <v>20</v>
      </c>
      <c r="B200" s="43" t="s">
        <v>21</v>
      </c>
      <c r="C200" s="43" t="s">
        <v>22</v>
      </c>
      <c r="D200" s="44" t="s">
        <v>23</v>
      </c>
      <c r="E200" s="205" t="s">
        <v>52</v>
      </c>
      <c r="F200" s="205" t="s">
        <v>477</v>
      </c>
      <c r="G200" s="206" t="s">
        <v>106</v>
      </c>
      <c r="H200" s="206" t="s">
        <v>27</v>
      </c>
      <c r="I200" s="206" t="s">
        <v>28</v>
      </c>
      <c r="J200" s="207">
        <v>2</v>
      </c>
      <c r="K200" s="275" t="s">
        <v>1563</v>
      </c>
      <c r="L200" s="279" t="s">
        <v>466</v>
      </c>
      <c r="M200" s="276" t="s">
        <v>1634</v>
      </c>
      <c r="N200" s="219" t="s">
        <v>30</v>
      </c>
      <c r="O200" s="207" t="s">
        <v>184</v>
      </c>
      <c r="P200" s="53">
        <v>223</v>
      </c>
      <c r="Q200" s="18" t="str">
        <f t="shared" si="2"/>
        <v xml:space="preserve">BM BB01 _ B _ Enzymatique _ Quantitatif _ Automatisée _ 2 _ Cobas Pro Roche
</v>
      </c>
      <c r="R200" s="286"/>
    </row>
    <row r="201" spans="1:18" ht="63.75" x14ac:dyDescent="0.2">
      <c r="A201" s="14" t="s">
        <v>20</v>
      </c>
      <c r="B201" s="43" t="s">
        <v>21</v>
      </c>
      <c r="C201" s="43" t="s">
        <v>22</v>
      </c>
      <c r="D201" s="44" t="s">
        <v>23</v>
      </c>
      <c r="E201" s="205" t="s">
        <v>479</v>
      </c>
      <c r="F201" s="205" t="s">
        <v>477</v>
      </c>
      <c r="G201" s="206" t="s">
        <v>106</v>
      </c>
      <c r="H201" s="206" t="s">
        <v>27</v>
      </c>
      <c r="I201" s="206" t="s">
        <v>28</v>
      </c>
      <c r="J201" s="207">
        <v>2</v>
      </c>
      <c r="K201" s="275" t="s">
        <v>1563</v>
      </c>
      <c r="L201" s="279" t="s">
        <v>91</v>
      </c>
      <c r="M201" s="276" t="s">
        <v>1634</v>
      </c>
      <c r="N201" s="219" t="s">
        <v>30</v>
      </c>
      <c r="O201" s="207" t="s">
        <v>184</v>
      </c>
      <c r="P201" s="53">
        <v>430</v>
      </c>
      <c r="Q201" s="18" t="str">
        <f t="shared" si="2"/>
        <v xml:space="preserve">BM BB01 _ B _ Enzymatique _ Quantitatif _ Automatisée _ 2 _ Cobas Pro Roche
</v>
      </c>
      <c r="R201" s="286"/>
    </row>
    <row r="202" spans="1:18" ht="63.75" x14ac:dyDescent="0.2">
      <c r="A202" s="14" t="s">
        <v>20</v>
      </c>
      <c r="B202" s="43" t="s">
        <v>21</v>
      </c>
      <c r="C202" s="43" t="s">
        <v>22</v>
      </c>
      <c r="D202" s="44" t="s">
        <v>23</v>
      </c>
      <c r="E202" s="205" t="s">
        <v>480</v>
      </c>
      <c r="F202" s="205" t="s">
        <v>477</v>
      </c>
      <c r="G202" s="206" t="s">
        <v>106</v>
      </c>
      <c r="H202" s="206" t="s">
        <v>27</v>
      </c>
      <c r="I202" s="206" t="s">
        <v>28</v>
      </c>
      <c r="J202" s="207">
        <v>2</v>
      </c>
      <c r="K202" s="275" t="s">
        <v>1563</v>
      </c>
      <c r="L202" s="279" t="s">
        <v>107</v>
      </c>
      <c r="M202" s="276" t="s">
        <v>1634</v>
      </c>
      <c r="N202" s="219" t="s">
        <v>30</v>
      </c>
      <c r="O202" s="207" t="s">
        <v>184</v>
      </c>
      <c r="P202" s="53">
        <v>250</v>
      </c>
      <c r="Q202" s="18" t="str">
        <f t="shared" si="2"/>
        <v xml:space="preserve">BM BB01 _ B _ Enzymatique _ Quantitatif _ Automatisée _ 2 _ Cobas Pro Roche
</v>
      </c>
      <c r="R202" s="286"/>
    </row>
    <row r="203" spans="1:18" ht="51" x14ac:dyDescent="0.2">
      <c r="A203" s="14" t="s">
        <v>20</v>
      </c>
      <c r="B203" s="43" t="s">
        <v>21</v>
      </c>
      <c r="C203" s="43" t="s">
        <v>22</v>
      </c>
      <c r="D203" s="44" t="s">
        <v>23</v>
      </c>
      <c r="E203" s="205" t="s">
        <v>481</v>
      </c>
      <c r="F203" s="205" t="s">
        <v>477</v>
      </c>
      <c r="G203" s="206" t="s">
        <v>106</v>
      </c>
      <c r="H203" s="206" t="s">
        <v>27</v>
      </c>
      <c r="I203" s="206" t="s">
        <v>28</v>
      </c>
      <c r="J203" s="207">
        <v>2</v>
      </c>
      <c r="K203" s="275" t="s">
        <v>1563</v>
      </c>
      <c r="L203" s="249" t="s">
        <v>76</v>
      </c>
      <c r="M203" s="203" t="s">
        <v>1564</v>
      </c>
      <c r="N203" s="219" t="s">
        <v>30</v>
      </c>
      <c r="O203" s="207" t="s">
        <v>184</v>
      </c>
      <c r="P203" s="53">
        <v>128</v>
      </c>
      <c r="Q203" s="18" t="str">
        <f t="shared" si="2"/>
        <v xml:space="preserve">BM BB01 _ B _ Enzymatique _ Quantitatif _ Automatisée _ 2 _ Cobas Pro Roche
</v>
      </c>
      <c r="R203" s="286"/>
    </row>
    <row r="204" spans="1:18" ht="51" x14ac:dyDescent="0.2">
      <c r="A204" s="14" t="s">
        <v>20</v>
      </c>
      <c r="B204" s="43" t="s">
        <v>21</v>
      </c>
      <c r="C204" s="43" t="s">
        <v>22</v>
      </c>
      <c r="D204" s="44" t="s">
        <v>23</v>
      </c>
      <c r="E204" s="205" t="s">
        <v>482</v>
      </c>
      <c r="F204" s="205" t="s">
        <v>477</v>
      </c>
      <c r="G204" s="206" t="s">
        <v>47</v>
      </c>
      <c r="H204" s="206" t="s">
        <v>27</v>
      </c>
      <c r="I204" s="206" t="s">
        <v>28</v>
      </c>
      <c r="J204" s="207">
        <v>1</v>
      </c>
      <c r="K204" s="275" t="s">
        <v>1563</v>
      </c>
      <c r="L204" s="249" t="s">
        <v>79</v>
      </c>
      <c r="M204" s="203" t="s">
        <v>1564</v>
      </c>
      <c r="N204" s="205" t="s">
        <v>30</v>
      </c>
      <c r="O204" s="207" t="s">
        <v>184</v>
      </c>
      <c r="P204" s="53">
        <v>231</v>
      </c>
      <c r="Q204" s="18" t="str">
        <f t="shared" si="2"/>
        <v xml:space="preserve">BM BB01 _ B _ Colorimétrie enzymatique _ Quantitatif _ Automatisée _ 1 _ Cobas Pro Roche
</v>
      </c>
      <c r="R204" s="286"/>
    </row>
    <row r="205" spans="1:18" ht="51" x14ac:dyDescent="0.2">
      <c r="A205" s="14" t="s">
        <v>20</v>
      </c>
      <c r="B205" s="43" t="s">
        <v>21</v>
      </c>
      <c r="C205" s="43" t="s">
        <v>22</v>
      </c>
      <c r="D205" s="44" t="s">
        <v>23</v>
      </c>
      <c r="E205" s="205" t="s">
        <v>483</v>
      </c>
      <c r="F205" s="205" t="s">
        <v>477</v>
      </c>
      <c r="G205" s="206" t="s">
        <v>429</v>
      </c>
      <c r="H205" s="206" t="s">
        <v>27</v>
      </c>
      <c r="I205" s="206" t="s">
        <v>28</v>
      </c>
      <c r="J205" s="207">
        <v>1</v>
      </c>
      <c r="K205" s="55" t="s">
        <v>1556</v>
      </c>
      <c r="L205" s="249" t="s">
        <v>459</v>
      </c>
      <c r="M205" s="203" t="s">
        <v>1564</v>
      </c>
      <c r="N205" s="205" t="s">
        <v>30</v>
      </c>
      <c r="O205" s="207" t="s">
        <v>184</v>
      </c>
      <c r="P205" s="53">
        <v>137</v>
      </c>
      <c r="Q205" s="18" t="str">
        <f t="shared" si="2"/>
        <v>BM BB01 _ B _ Colorimétrique _ Quantitatif _ Automatisée _ 1 _ Cobas pro Roche</v>
      </c>
      <c r="R205" s="286"/>
    </row>
    <row r="206" spans="1:18" ht="63.75" x14ac:dyDescent="0.2">
      <c r="A206" s="14" t="s">
        <v>20</v>
      </c>
      <c r="B206" s="43" t="s">
        <v>21</v>
      </c>
      <c r="C206" s="43" t="s">
        <v>22</v>
      </c>
      <c r="D206" s="44" t="s">
        <v>23</v>
      </c>
      <c r="E206" s="209" t="s">
        <v>484</v>
      </c>
      <c r="F206" s="205" t="s">
        <v>477</v>
      </c>
      <c r="G206" s="206" t="s">
        <v>65</v>
      </c>
      <c r="H206" s="206" t="s">
        <v>27</v>
      </c>
      <c r="I206" s="206" t="s">
        <v>28</v>
      </c>
      <c r="J206" s="207">
        <v>2</v>
      </c>
      <c r="K206" s="275" t="s">
        <v>1563</v>
      </c>
      <c r="L206" s="279" t="s">
        <v>485</v>
      </c>
      <c r="M206" s="276" t="s">
        <v>1634</v>
      </c>
      <c r="N206" s="205" t="s">
        <v>30</v>
      </c>
      <c r="O206" s="207" t="s">
        <v>184</v>
      </c>
      <c r="P206" s="53">
        <v>1295</v>
      </c>
      <c r="Q206" s="18" t="str">
        <f t="shared" si="2"/>
        <v xml:space="preserve">BM BB01 _ B _ Colorimétrie   _ Quantitatif _ Automatisée _ 2 _ Cobas Pro Roche
</v>
      </c>
      <c r="R206" s="286"/>
    </row>
    <row r="207" spans="1:18" ht="168" customHeight="1" x14ac:dyDescent="0.2">
      <c r="A207" s="14" t="s">
        <v>20</v>
      </c>
      <c r="B207" s="43" t="s">
        <v>21</v>
      </c>
      <c r="C207" s="43" t="s">
        <v>22</v>
      </c>
      <c r="D207" s="44" t="s">
        <v>23</v>
      </c>
      <c r="E207" s="205" t="s">
        <v>32</v>
      </c>
      <c r="F207" s="205" t="s">
        <v>477</v>
      </c>
      <c r="G207" s="206" t="s">
        <v>33</v>
      </c>
      <c r="H207" s="206" t="s">
        <v>27</v>
      </c>
      <c r="I207" s="206" t="s">
        <v>28</v>
      </c>
      <c r="J207" s="207">
        <v>2</v>
      </c>
      <c r="K207" s="275" t="s">
        <v>1563</v>
      </c>
      <c r="L207" s="279" t="s">
        <v>34</v>
      </c>
      <c r="M207" s="276" t="s">
        <v>1634</v>
      </c>
      <c r="N207" s="205" t="s">
        <v>30</v>
      </c>
      <c r="O207" s="207" t="s">
        <v>184</v>
      </c>
      <c r="P207" s="53">
        <v>60</v>
      </c>
      <c r="Q207" s="18" t="str">
        <f t="shared" si="2"/>
        <v xml:space="preserve">BM BB01 _ B _ Potentiométrie indirecte _ Quantitatif _ Automatisée _ 2 _ Cobas Pro Roche
</v>
      </c>
      <c r="R207" s="286"/>
    </row>
    <row r="208" spans="1:18" ht="177" customHeight="1" x14ac:dyDescent="0.2">
      <c r="A208" s="14" t="s">
        <v>20</v>
      </c>
      <c r="B208" s="43" t="s">
        <v>21</v>
      </c>
      <c r="C208" s="43" t="s">
        <v>22</v>
      </c>
      <c r="D208" s="44" t="s">
        <v>23</v>
      </c>
      <c r="E208" s="205" t="s">
        <v>57</v>
      </c>
      <c r="F208" s="205" t="s">
        <v>477</v>
      </c>
      <c r="G208" s="206" t="s">
        <v>33</v>
      </c>
      <c r="H208" s="206" t="s">
        <v>27</v>
      </c>
      <c r="I208" s="206" t="s">
        <v>28</v>
      </c>
      <c r="J208" s="207">
        <v>2</v>
      </c>
      <c r="K208" s="275" t="s">
        <v>1563</v>
      </c>
      <c r="L208" s="279" t="s">
        <v>486</v>
      </c>
      <c r="M208" s="276" t="s">
        <v>1634</v>
      </c>
      <c r="N208" s="205" t="s">
        <v>30</v>
      </c>
      <c r="O208" s="207" t="s">
        <v>184</v>
      </c>
      <c r="P208" s="53">
        <v>60</v>
      </c>
      <c r="Q208" s="18" t="str">
        <f t="shared" ref="Q208:Q271" si="3">CONCATENATE(N208," _ ",O208," _ ",G208," _ ",H208," _ ",I208," _ ",J208," _ ",K208)</f>
        <v xml:space="preserve">BM BB01 _ B _ Potentiométrie indirecte _ Quantitatif _ Automatisée _ 2 _ Cobas Pro Roche
</v>
      </c>
      <c r="R208" s="286"/>
    </row>
    <row r="209" spans="1:18" ht="104.25" customHeight="1" x14ac:dyDescent="0.2">
      <c r="A209" s="14" t="s">
        <v>20</v>
      </c>
      <c r="B209" s="43" t="s">
        <v>21</v>
      </c>
      <c r="C209" s="43" t="s">
        <v>22</v>
      </c>
      <c r="D209" s="44" t="s">
        <v>23</v>
      </c>
      <c r="E209" s="205" t="s">
        <v>487</v>
      </c>
      <c r="F209" s="205" t="s">
        <v>477</v>
      </c>
      <c r="G209" s="206" t="s">
        <v>429</v>
      </c>
      <c r="H209" s="206" t="s">
        <v>27</v>
      </c>
      <c r="I209" s="206" t="s">
        <v>28</v>
      </c>
      <c r="J209" s="207">
        <v>2</v>
      </c>
      <c r="K209" s="275" t="s">
        <v>1563</v>
      </c>
      <c r="L209" s="279" t="s">
        <v>85</v>
      </c>
      <c r="M209" s="276" t="s">
        <v>1634</v>
      </c>
      <c r="N209" s="205" t="s">
        <v>30</v>
      </c>
      <c r="O209" s="207" t="s">
        <v>184</v>
      </c>
      <c r="P209" s="53">
        <v>62</v>
      </c>
      <c r="Q209" s="18" t="str">
        <f t="shared" si="3"/>
        <v xml:space="preserve">BM BB01 _ B _ Colorimétrique _ Quantitatif _ Automatisée _ 2 _ Cobas Pro Roche
</v>
      </c>
      <c r="R209" s="286"/>
    </row>
    <row r="210" spans="1:18" ht="155.25" customHeight="1" x14ac:dyDescent="0.2">
      <c r="A210" s="14" t="s">
        <v>20</v>
      </c>
      <c r="B210" s="43" t="s">
        <v>21</v>
      </c>
      <c r="C210" s="43" t="s">
        <v>22</v>
      </c>
      <c r="D210" s="44" t="s">
        <v>23</v>
      </c>
      <c r="E210" s="205" t="s">
        <v>488</v>
      </c>
      <c r="F210" s="205" t="s">
        <v>477</v>
      </c>
      <c r="G210" s="206" t="s">
        <v>489</v>
      </c>
      <c r="H210" s="206" t="s">
        <v>27</v>
      </c>
      <c r="I210" s="206" t="s">
        <v>28</v>
      </c>
      <c r="J210" s="207">
        <v>2</v>
      </c>
      <c r="K210" s="275" t="s">
        <v>1563</v>
      </c>
      <c r="L210" s="279" t="s">
        <v>104</v>
      </c>
      <c r="M210" s="276" t="s">
        <v>1634</v>
      </c>
      <c r="N210" s="205" t="s">
        <v>30</v>
      </c>
      <c r="O210" s="207" t="s">
        <v>184</v>
      </c>
      <c r="P210" s="53">
        <v>3</v>
      </c>
      <c r="Q210" s="18" t="str">
        <f t="shared" si="3"/>
        <v xml:space="preserve">BM BB01 _ B _ Test photométrique  _ Quantitatif _ Automatisée _ 2 _ Cobas Pro Roche
</v>
      </c>
      <c r="R210" s="286"/>
    </row>
    <row r="211" spans="1:18" ht="63.75" x14ac:dyDescent="0.2">
      <c r="A211" s="14" t="s">
        <v>20</v>
      </c>
      <c r="B211" s="43" t="s">
        <v>21</v>
      </c>
      <c r="C211" s="43" t="s">
        <v>22</v>
      </c>
      <c r="D211" s="44" t="s">
        <v>23</v>
      </c>
      <c r="E211" s="205" t="s">
        <v>46</v>
      </c>
      <c r="F211" s="205" t="s">
        <v>477</v>
      </c>
      <c r="G211" s="206" t="s">
        <v>490</v>
      </c>
      <c r="H211" s="206" t="s">
        <v>27</v>
      </c>
      <c r="I211" s="206" t="s">
        <v>28</v>
      </c>
      <c r="J211" s="207">
        <v>2</v>
      </c>
      <c r="K211" s="275" t="s">
        <v>1563</v>
      </c>
      <c r="L211" s="279" t="s">
        <v>491</v>
      </c>
      <c r="M211" s="276" t="s">
        <v>1634</v>
      </c>
      <c r="N211" s="205" t="s">
        <v>30</v>
      </c>
      <c r="O211" s="207" t="s">
        <v>184</v>
      </c>
      <c r="P211" s="53">
        <v>555</v>
      </c>
      <c r="Q211" s="18" t="str">
        <f t="shared" si="3"/>
        <v xml:space="preserve">BM BB01 _ B _ Colorimétrique enzymatique _ Quantitatif _ Automatisée _ 2 _ Cobas Pro Roche
</v>
      </c>
      <c r="R211" s="286"/>
    </row>
    <row r="212" spans="1:18" ht="51" x14ac:dyDescent="0.2">
      <c r="A212" s="14" t="s">
        <v>20</v>
      </c>
      <c r="B212" s="43" t="s">
        <v>21</v>
      </c>
      <c r="C212" s="43" t="s">
        <v>22</v>
      </c>
      <c r="D212" s="44" t="s">
        <v>23</v>
      </c>
      <c r="E212" s="205" t="s">
        <v>492</v>
      </c>
      <c r="F212" s="205" t="s">
        <v>292</v>
      </c>
      <c r="G212" s="206" t="s">
        <v>391</v>
      </c>
      <c r="H212" s="206" t="s">
        <v>27</v>
      </c>
      <c r="I212" s="206" t="s">
        <v>28</v>
      </c>
      <c r="J212" s="207">
        <v>2</v>
      </c>
      <c r="K212" s="55" t="s">
        <v>1565</v>
      </c>
      <c r="L212" s="249" t="s">
        <v>88</v>
      </c>
      <c r="M212" s="203" t="s">
        <v>1564</v>
      </c>
      <c r="N212" s="205" t="s">
        <v>30</v>
      </c>
      <c r="O212" s="207" t="s">
        <v>184</v>
      </c>
      <c r="P212" s="53">
        <v>51</v>
      </c>
      <c r="Q212" s="18" t="str">
        <f t="shared" si="3"/>
        <v xml:space="preserve">BM BB01 _ B _ Chimiluminescence _ Quantitatif _ Automatisée _ 2 _ Cobas pro Roche
</v>
      </c>
      <c r="R212" s="286"/>
    </row>
    <row r="213" spans="1:18" ht="102" x14ac:dyDescent="0.2">
      <c r="A213" s="14" t="s">
        <v>20</v>
      </c>
      <c r="B213" s="19" t="s">
        <v>21</v>
      </c>
      <c r="C213" s="14" t="s">
        <v>69</v>
      </c>
      <c r="D213" s="15" t="s">
        <v>23</v>
      </c>
      <c r="E213" s="199" t="s">
        <v>493</v>
      </c>
      <c r="F213" s="197" t="s">
        <v>292</v>
      </c>
      <c r="G213" s="197" t="s">
        <v>494</v>
      </c>
      <c r="H213" s="197" t="s">
        <v>27</v>
      </c>
      <c r="I213" s="201" t="s">
        <v>182</v>
      </c>
      <c r="J213" s="198">
        <v>1</v>
      </c>
      <c r="K213" s="197" t="s">
        <v>495</v>
      </c>
      <c r="L213" s="199" t="s">
        <v>1802</v>
      </c>
      <c r="M213" s="199" t="s">
        <v>1801</v>
      </c>
      <c r="N213" s="197" t="s">
        <v>282</v>
      </c>
      <c r="O213" s="198" t="s">
        <v>31</v>
      </c>
      <c r="P213" s="49">
        <v>222</v>
      </c>
      <c r="Q213" s="18" t="str">
        <f t="shared" si="3"/>
        <v xml:space="preserve">BM BB02 _ A _ Chromatographie Liquide Haute Performance avec détection électrochimique  _ Quantitatif _ Semi-automatisée _ 1 _ HPLC Ultimate 3000 ThermoScientific </v>
      </c>
      <c r="R213" s="286"/>
    </row>
    <row r="214" spans="1:18" ht="102" x14ac:dyDescent="0.2">
      <c r="A214" s="14" t="s">
        <v>20</v>
      </c>
      <c r="B214" s="19" t="s">
        <v>21</v>
      </c>
      <c r="C214" s="14" t="s">
        <v>69</v>
      </c>
      <c r="D214" s="15" t="s">
        <v>23</v>
      </c>
      <c r="E214" s="199" t="s">
        <v>496</v>
      </c>
      <c r="F214" s="197" t="s">
        <v>292</v>
      </c>
      <c r="G214" s="197" t="s">
        <v>494</v>
      </c>
      <c r="H214" s="197" t="s">
        <v>27</v>
      </c>
      <c r="I214" s="201" t="s">
        <v>182</v>
      </c>
      <c r="J214" s="198">
        <v>1</v>
      </c>
      <c r="K214" s="197" t="s">
        <v>495</v>
      </c>
      <c r="L214" s="199" t="s">
        <v>1802</v>
      </c>
      <c r="M214" s="199" t="s">
        <v>1801</v>
      </c>
      <c r="N214" s="197" t="s">
        <v>282</v>
      </c>
      <c r="O214" s="198" t="s">
        <v>31</v>
      </c>
      <c r="P214" s="49">
        <v>222</v>
      </c>
      <c r="Q214" s="18" t="str">
        <f t="shared" si="3"/>
        <v xml:space="preserve">BM BB02 _ A _ Chromatographie Liquide Haute Performance avec détection électrochimique  _ Quantitatif _ Semi-automatisée _ 1 _ HPLC Ultimate 3000 ThermoScientific </v>
      </c>
      <c r="R214" s="286"/>
    </row>
    <row r="215" spans="1:18" ht="102" x14ac:dyDescent="0.2">
      <c r="A215" s="14" t="s">
        <v>20</v>
      </c>
      <c r="B215" s="19" t="s">
        <v>21</v>
      </c>
      <c r="C215" s="14" t="s">
        <v>69</v>
      </c>
      <c r="D215" s="15" t="s">
        <v>23</v>
      </c>
      <c r="E215" s="199" t="s">
        <v>497</v>
      </c>
      <c r="F215" s="197" t="s">
        <v>292</v>
      </c>
      <c r="G215" s="197" t="s">
        <v>494</v>
      </c>
      <c r="H215" s="197" t="s">
        <v>27</v>
      </c>
      <c r="I215" s="201" t="s">
        <v>182</v>
      </c>
      <c r="J215" s="198">
        <v>1</v>
      </c>
      <c r="K215" s="197" t="s">
        <v>495</v>
      </c>
      <c r="L215" s="199" t="s">
        <v>1802</v>
      </c>
      <c r="M215" s="199" t="s">
        <v>1801</v>
      </c>
      <c r="N215" s="197" t="s">
        <v>282</v>
      </c>
      <c r="O215" s="198" t="s">
        <v>31</v>
      </c>
      <c r="P215" s="49">
        <v>42</v>
      </c>
      <c r="Q215" s="18" t="str">
        <f t="shared" si="3"/>
        <v xml:space="preserve">BM BB02 _ A _ Chromatographie Liquide Haute Performance avec détection électrochimique  _ Quantitatif _ Semi-automatisée _ 1 _ HPLC Ultimate 3000 ThermoScientific </v>
      </c>
      <c r="R215" s="286"/>
    </row>
    <row r="216" spans="1:18" ht="51" x14ac:dyDescent="0.2">
      <c r="A216" s="14" t="s">
        <v>20</v>
      </c>
      <c r="B216" s="19" t="s">
        <v>21</v>
      </c>
      <c r="C216" s="14" t="s">
        <v>69</v>
      </c>
      <c r="D216" s="15" t="s">
        <v>23</v>
      </c>
      <c r="E216" s="197" t="s">
        <v>498</v>
      </c>
      <c r="F216" s="197" t="s">
        <v>25</v>
      </c>
      <c r="G216" s="197" t="s">
        <v>499</v>
      </c>
      <c r="H216" s="197" t="s">
        <v>27</v>
      </c>
      <c r="I216" s="201" t="s">
        <v>28</v>
      </c>
      <c r="J216" s="198">
        <v>1</v>
      </c>
      <c r="K216" s="197" t="s">
        <v>495</v>
      </c>
      <c r="L216" s="199" t="s">
        <v>1810</v>
      </c>
      <c r="M216" s="270"/>
      <c r="N216" s="197" t="s">
        <v>282</v>
      </c>
      <c r="O216" s="203" t="s">
        <v>184</v>
      </c>
      <c r="P216" s="49">
        <v>2244</v>
      </c>
      <c r="Q216" s="18" t="str">
        <f t="shared" si="3"/>
        <v xml:space="preserve">BM BB02 _ B _ Chromatographie Liquide Haute Performance _ Quantitatif _ Automatisée _ 1 _ HPLC Ultimate 3000 ThermoScientific </v>
      </c>
      <c r="R216" s="286"/>
    </row>
    <row r="217" spans="1:18" ht="51" x14ac:dyDescent="0.2">
      <c r="A217" s="14" t="s">
        <v>20</v>
      </c>
      <c r="B217" s="19" t="s">
        <v>21</v>
      </c>
      <c r="C217" s="14" t="s">
        <v>69</v>
      </c>
      <c r="D217" s="15" t="s">
        <v>23</v>
      </c>
      <c r="E217" s="197" t="s">
        <v>500</v>
      </c>
      <c r="F217" s="197" t="s">
        <v>25</v>
      </c>
      <c r="G217" s="197" t="s">
        <v>499</v>
      </c>
      <c r="H217" s="197" t="s">
        <v>27</v>
      </c>
      <c r="I217" s="201" t="s">
        <v>28</v>
      </c>
      <c r="J217" s="198">
        <v>1</v>
      </c>
      <c r="K217" s="197" t="s">
        <v>495</v>
      </c>
      <c r="L217" s="199" t="s">
        <v>1810</v>
      </c>
      <c r="M217" s="270"/>
      <c r="N217" s="197" t="s">
        <v>282</v>
      </c>
      <c r="O217" s="203" t="s">
        <v>184</v>
      </c>
      <c r="P217" s="49">
        <v>1514</v>
      </c>
      <c r="Q217" s="18" t="str">
        <f t="shared" si="3"/>
        <v xml:space="preserve">BM BB02 _ B _ Chromatographie Liquide Haute Performance _ Quantitatif _ Automatisée _ 1 _ HPLC Ultimate 3000 ThermoScientific </v>
      </c>
      <c r="R217" s="286"/>
    </row>
    <row r="218" spans="1:18" ht="76.5" x14ac:dyDescent="0.2">
      <c r="A218" s="14" t="s">
        <v>20</v>
      </c>
      <c r="B218" s="14" t="s">
        <v>21</v>
      </c>
      <c r="C218" s="23" t="s">
        <v>22</v>
      </c>
      <c r="D218" s="23" t="s">
        <v>23</v>
      </c>
      <c r="E218" s="197" t="s">
        <v>501</v>
      </c>
      <c r="F218" s="197" t="s">
        <v>292</v>
      </c>
      <c r="G218" s="197" t="s">
        <v>502</v>
      </c>
      <c r="H218" s="197" t="s">
        <v>170</v>
      </c>
      <c r="I218" s="197" t="s">
        <v>182</v>
      </c>
      <c r="J218" s="198">
        <v>1</v>
      </c>
      <c r="K218" s="197" t="s">
        <v>503</v>
      </c>
      <c r="L218" s="197" t="s">
        <v>504</v>
      </c>
      <c r="M218" s="203" t="s">
        <v>1524</v>
      </c>
      <c r="N218" s="218" t="s">
        <v>505</v>
      </c>
      <c r="O218" s="198" t="s">
        <v>31</v>
      </c>
      <c r="P218" s="49">
        <v>275</v>
      </c>
      <c r="Q218" s="18" t="str">
        <f t="shared" si="3"/>
        <v>BM BB04 _ A _ Electrophorèse _ Qualitatif _ Semi-automatisée _ 1 _ Hydrasys 2 scan sebia 1762</v>
      </c>
      <c r="R218" s="286"/>
    </row>
    <row r="219" spans="1:18" ht="76.5" x14ac:dyDescent="0.2">
      <c r="A219" s="14" t="s">
        <v>20</v>
      </c>
      <c r="B219" s="25" t="s">
        <v>21</v>
      </c>
      <c r="C219" s="15" t="s">
        <v>22</v>
      </c>
      <c r="D219" s="15" t="s">
        <v>23</v>
      </c>
      <c r="E219" s="220" t="s">
        <v>506</v>
      </c>
      <c r="F219" s="218" t="s">
        <v>25</v>
      </c>
      <c r="G219" s="221" t="s">
        <v>502</v>
      </c>
      <c r="H219" s="221" t="s">
        <v>170</v>
      </c>
      <c r="I219" s="221" t="s">
        <v>182</v>
      </c>
      <c r="J219" s="222">
        <v>1</v>
      </c>
      <c r="K219" s="199" t="s">
        <v>509</v>
      </c>
      <c r="L219" s="55" t="s">
        <v>1672</v>
      </c>
      <c r="M219" s="203" t="s">
        <v>1525</v>
      </c>
      <c r="N219" s="223" t="s">
        <v>505</v>
      </c>
      <c r="O219" s="222" t="s">
        <v>31</v>
      </c>
      <c r="P219" s="49">
        <v>12636</v>
      </c>
      <c r="Q219" s="18" t="str">
        <f t="shared" si="3"/>
        <v>BM BB04 _ A _ Electrophorèse _ Qualitatif _ Semi-automatisée _ 1 _ SEBIA, Capillarys3 Octa</v>
      </c>
      <c r="R219" s="286"/>
    </row>
    <row r="220" spans="1:18" ht="51" x14ac:dyDescent="0.2">
      <c r="A220" s="14" t="s">
        <v>20</v>
      </c>
      <c r="B220" s="14" t="s">
        <v>21</v>
      </c>
      <c r="C220" s="23" t="s">
        <v>22</v>
      </c>
      <c r="D220" s="23" t="s">
        <v>23</v>
      </c>
      <c r="E220" s="197" t="s">
        <v>508</v>
      </c>
      <c r="F220" s="197" t="s">
        <v>25</v>
      </c>
      <c r="G220" s="197" t="s">
        <v>502</v>
      </c>
      <c r="H220" s="197" t="s">
        <v>27</v>
      </c>
      <c r="I220" s="197" t="s">
        <v>28</v>
      </c>
      <c r="J220" s="198">
        <v>1</v>
      </c>
      <c r="K220" s="197" t="s">
        <v>509</v>
      </c>
      <c r="L220" s="197" t="s">
        <v>510</v>
      </c>
      <c r="M220" s="198"/>
      <c r="N220" s="218" t="s">
        <v>505</v>
      </c>
      <c r="O220" s="198" t="s">
        <v>31</v>
      </c>
      <c r="P220" s="49">
        <v>17197</v>
      </c>
      <c r="Q220" s="18" t="str">
        <f t="shared" si="3"/>
        <v>BM BB04 _ A _ Electrophorèse _ Quantitatif _ Automatisée _ 1 _ SEBIA, Capillarys3 Octa</v>
      </c>
      <c r="R220" s="286"/>
    </row>
    <row r="221" spans="1:18" ht="51" x14ac:dyDescent="0.2">
      <c r="A221" s="14" t="s">
        <v>20</v>
      </c>
      <c r="B221" s="14" t="s">
        <v>21</v>
      </c>
      <c r="C221" s="23" t="s">
        <v>22</v>
      </c>
      <c r="D221" s="23" t="s">
        <v>23</v>
      </c>
      <c r="E221" s="200" t="s">
        <v>511</v>
      </c>
      <c r="F221" s="197" t="s">
        <v>25</v>
      </c>
      <c r="G221" s="197" t="s">
        <v>512</v>
      </c>
      <c r="H221" s="197" t="s">
        <v>170</v>
      </c>
      <c r="I221" s="197" t="s">
        <v>182</v>
      </c>
      <c r="J221" s="198">
        <v>2</v>
      </c>
      <c r="K221" s="197" t="s">
        <v>507</v>
      </c>
      <c r="L221" s="197" t="s">
        <v>513</v>
      </c>
      <c r="M221" s="198"/>
      <c r="N221" s="197" t="s">
        <v>505</v>
      </c>
      <c r="O221" s="198" t="s">
        <v>31</v>
      </c>
      <c r="P221" s="49">
        <v>2756</v>
      </c>
      <c r="Q221" s="18" t="str">
        <f t="shared" si="3"/>
        <v>BM BB04 _ A _ Immunofixaton _ Qualitatif _ Semi-automatisée _ 2 _ hydrasys SEBIA</v>
      </c>
      <c r="R221" s="286"/>
    </row>
    <row r="222" spans="1:18" ht="51" x14ac:dyDescent="0.2">
      <c r="A222" s="14" t="s">
        <v>20</v>
      </c>
      <c r="B222" s="14" t="s">
        <v>21</v>
      </c>
      <c r="C222" s="23" t="s">
        <v>22</v>
      </c>
      <c r="D222" s="23" t="s">
        <v>23</v>
      </c>
      <c r="E222" s="197" t="s">
        <v>514</v>
      </c>
      <c r="F222" s="197" t="s">
        <v>292</v>
      </c>
      <c r="G222" s="197" t="s">
        <v>512</v>
      </c>
      <c r="H222" s="197" t="s">
        <v>170</v>
      </c>
      <c r="I222" s="197" t="s">
        <v>182</v>
      </c>
      <c r="J222" s="198">
        <v>1</v>
      </c>
      <c r="K222" s="218" t="s">
        <v>507</v>
      </c>
      <c r="L222" s="218" t="s">
        <v>513</v>
      </c>
      <c r="M222" s="198"/>
      <c r="N222" s="218" t="s">
        <v>505</v>
      </c>
      <c r="O222" s="222" t="s">
        <v>31</v>
      </c>
      <c r="P222" s="55">
        <v>377</v>
      </c>
      <c r="Q222" s="18" t="str">
        <f t="shared" si="3"/>
        <v>BM BB04 _ A _ Immunofixaton _ Qualitatif _ Semi-automatisée _ 1 _ hydrasys SEBIA</v>
      </c>
      <c r="R222" s="286"/>
    </row>
    <row r="223" spans="1:18" ht="102" x14ac:dyDescent="0.2">
      <c r="A223" s="14" t="s">
        <v>20</v>
      </c>
      <c r="B223" s="174" t="s">
        <v>21</v>
      </c>
      <c r="C223" s="175" t="s">
        <v>22</v>
      </c>
      <c r="D223" s="175" t="s">
        <v>23</v>
      </c>
      <c r="E223" s="200" t="s">
        <v>1419</v>
      </c>
      <c r="F223" s="199" t="s">
        <v>25</v>
      </c>
      <c r="G223" s="199" t="s">
        <v>1420</v>
      </c>
      <c r="H223" s="199" t="s">
        <v>170</v>
      </c>
      <c r="I223" s="199" t="s">
        <v>182</v>
      </c>
      <c r="J223" s="199">
        <v>1</v>
      </c>
      <c r="K223" s="199" t="s">
        <v>507</v>
      </c>
      <c r="L223" s="199" t="s">
        <v>1421</v>
      </c>
      <c r="M223" s="203" t="s">
        <v>1523</v>
      </c>
      <c r="N223" s="203" t="s">
        <v>505</v>
      </c>
      <c r="O223" s="203" t="s">
        <v>184</v>
      </c>
      <c r="P223" s="224">
        <v>738</v>
      </c>
      <c r="Q223" s="18" t="str">
        <f t="shared" si="3"/>
        <v>BM BB04 _ B _ Cryoprécipitation + Immunofixaton _ Qualitatif _ Semi-automatisée _ 1 _ hydrasys SEBIA</v>
      </c>
      <c r="R223" s="286"/>
    </row>
    <row r="224" spans="1:18" ht="102" x14ac:dyDescent="0.2">
      <c r="A224" s="14" t="s">
        <v>20</v>
      </c>
      <c r="B224" s="43" t="s">
        <v>21</v>
      </c>
      <c r="C224" s="43" t="s">
        <v>22</v>
      </c>
      <c r="D224" s="45" t="s">
        <v>23</v>
      </c>
      <c r="E224" s="209" t="s">
        <v>515</v>
      </c>
      <c r="F224" s="225" t="s">
        <v>292</v>
      </c>
      <c r="G224" s="226" t="s">
        <v>516</v>
      </c>
      <c r="H224" s="226" t="s">
        <v>517</v>
      </c>
      <c r="I224" s="226" t="s">
        <v>518</v>
      </c>
      <c r="J224" s="227">
        <v>1</v>
      </c>
      <c r="K224" s="226" t="s">
        <v>1529</v>
      </c>
      <c r="L224" s="206" t="s">
        <v>1530</v>
      </c>
      <c r="M224" s="265"/>
      <c r="N224" s="205" t="s">
        <v>519</v>
      </c>
      <c r="O224" s="207" t="s">
        <v>184</v>
      </c>
      <c r="P224" s="53">
        <v>136</v>
      </c>
      <c r="Q224" s="18" t="str">
        <f t="shared" si="3"/>
        <v>BM BB07 _ B _ Examen macroscopique et microscopique / Spectroscopie proche infra-rouge _ qualitatif _  Manuelle/automatisé _ 1 _ TENSOR ALPHA</v>
      </c>
      <c r="R224" s="286"/>
    </row>
    <row r="225" spans="1:18" ht="76.5" x14ac:dyDescent="0.2">
      <c r="A225" s="14" t="s">
        <v>20</v>
      </c>
      <c r="B225" s="25" t="s">
        <v>21</v>
      </c>
      <c r="C225" s="15" t="s">
        <v>22</v>
      </c>
      <c r="D225" s="15" t="s">
        <v>23</v>
      </c>
      <c r="E225" s="220" t="s">
        <v>520</v>
      </c>
      <c r="F225" s="221" t="s">
        <v>25</v>
      </c>
      <c r="G225" s="221" t="s">
        <v>521</v>
      </c>
      <c r="H225" s="221" t="s">
        <v>27</v>
      </c>
      <c r="I225" s="221" t="s">
        <v>28</v>
      </c>
      <c r="J225" s="222">
        <v>1</v>
      </c>
      <c r="K225" s="221" t="s">
        <v>522</v>
      </c>
      <c r="L225" s="218" t="s">
        <v>523</v>
      </c>
      <c r="M225" s="203" t="s">
        <v>1526</v>
      </c>
      <c r="N225" s="223" t="s">
        <v>524</v>
      </c>
      <c r="O225" s="222" t="s">
        <v>184</v>
      </c>
      <c r="P225" s="49">
        <v>538</v>
      </c>
      <c r="Q225" s="18" t="str">
        <f t="shared" si="3"/>
        <v>BM BB09 _ B _ Spectrométrie d'absorption atomique (SAA) _ Quantitatif _ Automatisée _ 1 _ Pinnacle 900T - Perkin Elmer</v>
      </c>
      <c r="R225" s="286"/>
    </row>
    <row r="226" spans="1:18" ht="76.5" x14ac:dyDescent="0.2">
      <c r="A226" s="14" t="s">
        <v>20</v>
      </c>
      <c r="B226" s="25" t="s">
        <v>21</v>
      </c>
      <c r="C226" s="15" t="s">
        <v>22</v>
      </c>
      <c r="D226" s="15" t="s">
        <v>23</v>
      </c>
      <c r="E226" s="221" t="s">
        <v>525</v>
      </c>
      <c r="F226" s="221" t="s">
        <v>25</v>
      </c>
      <c r="G226" s="221" t="s">
        <v>521</v>
      </c>
      <c r="H226" s="221" t="s">
        <v>27</v>
      </c>
      <c r="I226" s="221" t="s">
        <v>28</v>
      </c>
      <c r="J226" s="222">
        <v>1</v>
      </c>
      <c r="K226" s="221" t="s">
        <v>522</v>
      </c>
      <c r="L226" s="218" t="s">
        <v>526</v>
      </c>
      <c r="M226" s="203" t="s">
        <v>1526</v>
      </c>
      <c r="N226" s="223" t="s">
        <v>524</v>
      </c>
      <c r="O226" s="222" t="s">
        <v>184</v>
      </c>
      <c r="P226" s="49">
        <v>1889</v>
      </c>
      <c r="Q226" s="18" t="str">
        <f t="shared" si="3"/>
        <v>BM BB09 _ B _ Spectrométrie d'absorption atomique (SAA) _ Quantitatif _ Automatisée _ 1 _ Pinnacle 900T - Perkin Elmer</v>
      </c>
      <c r="R226" s="286"/>
    </row>
    <row r="227" spans="1:18" ht="76.5" x14ac:dyDescent="0.2">
      <c r="A227" s="14" t="s">
        <v>20</v>
      </c>
      <c r="B227" s="25" t="s">
        <v>21</v>
      </c>
      <c r="C227" s="15" t="s">
        <v>22</v>
      </c>
      <c r="D227" s="15" t="s">
        <v>23</v>
      </c>
      <c r="E227" s="221" t="s">
        <v>527</v>
      </c>
      <c r="F227" s="221" t="s">
        <v>25</v>
      </c>
      <c r="G227" s="221" t="s">
        <v>521</v>
      </c>
      <c r="H227" s="221" t="s">
        <v>27</v>
      </c>
      <c r="I227" s="221" t="s">
        <v>28</v>
      </c>
      <c r="J227" s="222">
        <v>1</v>
      </c>
      <c r="K227" s="221" t="s">
        <v>522</v>
      </c>
      <c r="L227" s="218" t="s">
        <v>528</v>
      </c>
      <c r="M227" s="203" t="s">
        <v>1526</v>
      </c>
      <c r="N227" s="223" t="s">
        <v>524</v>
      </c>
      <c r="O227" s="222" t="s">
        <v>184</v>
      </c>
      <c r="P227" s="49">
        <v>1780</v>
      </c>
      <c r="Q227" s="18" t="str">
        <f t="shared" si="3"/>
        <v>BM BB09 _ B _ Spectrométrie d'absorption atomique (SAA) _ Quantitatif _ Automatisée _ 1 _ Pinnacle 900T - Perkin Elmer</v>
      </c>
      <c r="R227" s="286"/>
    </row>
    <row r="228" spans="1:18" ht="51" x14ac:dyDescent="0.2">
      <c r="A228" s="14" t="s">
        <v>20</v>
      </c>
      <c r="B228" s="19" t="s">
        <v>21</v>
      </c>
      <c r="C228" s="14" t="s">
        <v>529</v>
      </c>
      <c r="D228" s="14" t="s">
        <v>530</v>
      </c>
      <c r="E228" s="197" t="s">
        <v>531</v>
      </c>
      <c r="F228" s="197" t="s">
        <v>25</v>
      </c>
      <c r="G228" s="197" t="s">
        <v>532</v>
      </c>
      <c r="H228" s="197" t="s">
        <v>27</v>
      </c>
      <c r="I228" s="197" t="s">
        <v>28</v>
      </c>
      <c r="J228" s="198">
        <v>1</v>
      </c>
      <c r="K228" s="197" t="s">
        <v>533</v>
      </c>
      <c r="L228" s="197" t="s">
        <v>534</v>
      </c>
      <c r="M228" s="197"/>
      <c r="N228" s="197" t="s">
        <v>535</v>
      </c>
      <c r="O228" s="198" t="s">
        <v>184</v>
      </c>
      <c r="P228" s="49">
        <v>71</v>
      </c>
      <c r="Q228" s="18" t="str">
        <f t="shared" si="3"/>
        <v>LT PB01 _ B _ Spectrométrie d'absorption atomique _ Quantitatif _ Automatisée _ 1 _ Pinnacle 900 T - Perkin Elmer</v>
      </c>
      <c r="R228" s="286"/>
    </row>
    <row r="229" spans="1:18" ht="89.25" x14ac:dyDescent="0.2">
      <c r="A229" s="14" t="s">
        <v>20</v>
      </c>
      <c r="B229" s="19" t="s">
        <v>536</v>
      </c>
      <c r="C229" s="19" t="s">
        <v>22</v>
      </c>
      <c r="D229" s="15" t="s">
        <v>23</v>
      </c>
      <c r="E229" s="14" t="s">
        <v>537</v>
      </c>
      <c r="F229" s="19" t="s">
        <v>292</v>
      </c>
      <c r="G229" s="19" t="s">
        <v>538</v>
      </c>
      <c r="H229" s="19" t="s">
        <v>27</v>
      </c>
      <c r="I229" s="19" t="s">
        <v>182</v>
      </c>
      <c r="J229" s="16">
        <v>1</v>
      </c>
      <c r="K229" s="19" t="s">
        <v>539</v>
      </c>
      <c r="L229" s="19" t="s">
        <v>540</v>
      </c>
      <c r="M229" s="19"/>
      <c r="N229" s="14" t="s">
        <v>282</v>
      </c>
      <c r="O229" s="16" t="s">
        <v>184</v>
      </c>
      <c r="P229" s="295">
        <v>260</v>
      </c>
      <c r="Q229" s="18" t="str">
        <f t="shared" si="3"/>
        <v>BM BB02 _ B _ Extraction de la créatine de l'urine et analyse par spectrometrie de masse en tandem. _ Quantitatif _ Semi-automatisée _ 1 _ Spectromètre de masse en tandem couplé à une HPLC</v>
      </c>
      <c r="R229" s="286"/>
    </row>
    <row r="230" spans="1:18" ht="102" x14ac:dyDescent="0.2">
      <c r="A230" s="14" t="s">
        <v>20</v>
      </c>
      <c r="B230" s="19" t="s">
        <v>536</v>
      </c>
      <c r="C230" s="19" t="s">
        <v>22</v>
      </c>
      <c r="D230" s="15" t="s">
        <v>23</v>
      </c>
      <c r="E230" s="14" t="s">
        <v>541</v>
      </c>
      <c r="F230" s="19" t="s">
        <v>292</v>
      </c>
      <c r="G230" s="19" t="s">
        <v>542</v>
      </c>
      <c r="H230" s="19" t="s">
        <v>27</v>
      </c>
      <c r="I230" s="19" t="s">
        <v>182</v>
      </c>
      <c r="J230" s="16">
        <v>1</v>
      </c>
      <c r="K230" s="19" t="s">
        <v>539</v>
      </c>
      <c r="L230" s="19" t="s">
        <v>543</v>
      </c>
      <c r="M230" s="19"/>
      <c r="N230" s="14" t="s">
        <v>282</v>
      </c>
      <c r="O230" s="16" t="s">
        <v>184</v>
      </c>
      <c r="P230" s="295">
        <v>260</v>
      </c>
      <c r="Q230" s="18" t="str">
        <f t="shared" si="3"/>
        <v>BM BB02 _ B _ Extraction du guanidinoacétate de l'urine et analyse par spectrometrie de masse en tandem. _ Quantitatif _ Semi-automatisée _ 1 _ Spectromètre de masse en tandem couplé à une HPLC</v>
      </c>
      <c r="R230" s="286"/>
    </row>
    <row r="231" spans="1:18" ht="89.25" x14ac:dyDescent="0.2">
      <c r="A231" s="14" t="s">
        <v>20</v>
      </c>
      <c r="B231" s="19" t="s">
        <v>536</v>
      </c>
      <c r="C231" s="19" t="s">
        <v>22</v>
      </c>
      <c r="D231" s="15" t="s">
        <v>23</v>
      </c>
      <c r="E231" s="14" t="s">
        <v>479</v>
      </c>
      <c r="F231" s="19" t="s">
        <v>292</v>
      </c>
      <c r="G231" s="19" t="s">
        <v>544</v>
      </c>
      <c r="H231" s="19" t="s">
        <v>27</v>
      </c>
      <c r="I231" s="19" t="s">
        <v>182</v>
      </c>
      <c r="J231" s="16">
        <v>1</v>
      </c>
      <c r="K231" s="19" t="s">
        <v>539</v>
      </c>
      <c r="L231" s="19" t="s">
        <v>545</v>
      </c>
      <c r="M231" s="17" t="s">
        <v>1515</v>
      </c>
      <c r="N231" s="14" t="s">
        <v>282</v>
      </c>
      <c r="O231" s="16" t="s">
        <v>184</v>
      </c>
      <c r="P231" s="295">
        <v>260</v>
      </c>
      <c r="Q231" s="18" t="str">
        <f t="shared" si="3"/>
        <v>BM BB02 _ B _ Extraction de la créatinine de l'urine et analyse par spectrometrie de masse en tandem. _ Quantitatif _ Semi-automatisée _ 1 _ Spectromètre de masse en tandem couplé à une HPLC</v>
      </c>
      <c r="R231" s="286"/>
    </row>
    <row r="232" spans="1:18" ht="51" x14ac:dyDescent="0.2">
      <c r="A232" s="14" t="s">
        <v>20</v>
      </c>
      <c r="B232" s="19" t="s">
        <v>536</v>
      </c>
      <c r="C232" s="19" t="s">
        <v>22</v>
      </c>
      <c r="D232" s="15" t="s">
        <v>23</v>
      </c>
      <c r="E232" s="20" t="s">
        <v>546</v>
      </c>
      <c r="F232" s="19" t="s">
        <v>25</v>
      </c>
      <c r="G232" s="19" t="s">
        <v>547</v>
      </c>
      <c r="H232" s="19" t="s">
        <v>27</v>
      </c>
      <c r="I232" s="19" t="s">
        <v>182</v>
      </c>
      <c r="J232" s="16">
        <v>1</v>
      </c>
      <c r="K232" s="19" t="s">
        <v>539</v>
      </c>
      <c r="L232" s="19" t="s">
        <v>548</v>
      </c>
      <c r="M232" s="21"/>
      <c r="N232" s="14" t="s">
        <v>282</v>
      </c>
      <c r="O232" s="16" t="s">
        <v>184</v>
      </c>
      <c r="P232" s="296">
        <v>1115</v>
      </c>
      <c r="Q232" s="18" t="str">
        <f t="shared" si="3"/>
        <v>BM BB02 _ B _ Spectrométrie de masse en tandem  _ Quantitatif _ Semi-automatisée _ 1 _ Spectromètre de masse en tandem couplé à une HPLC</v>
      </c>
      <c r="R232" s="286"/>
    </row>
    <row r="233" spans="1:18" ht="127.5" x14ac:dyDescent="0.2">
      <c r="A233" s="14" t="s">
        <v>20</v>
      </c>
      <c r="B233" s="19" t="s">
        <v>536</v>
      </c>
      <c r="C233" s="19" t="s">
        <v>22</v>
      </c>
      <c r="D233" s="15" t="s">
        <v>23</v>
      </c>
      <c r="E233" s="14" t="s">
        <v>549</v>
      </c>
      <c r="F233" s="19" t="s">
        <v>25</v>
      </c>
      <c r="G233" s="19" t="s">
        <v>550</v>
      </c>
      <c r="H233" s="19" t="s">
        <v>27</v>
      </c>
      <c r="I233" s="19" t="s">
        <v>182</v>
      </c>
      <c r="J233" s="16">
        <v>1</v>
      </c>
      <c r="K233" s="19" t="s">
        <v>551</v>
      </c>
      <c r="L233" s="19" t="s">
        <v>552</v>
      </c>
      <c r="M233" s="29"/>
      <c r="N233" s="14" t="s">
        <v>282</v>
      </c>
      <c r="O233" s="16" t="s">
        <v>184</v>
      </c>
      <c r="P233" s="296">
        <v>69</v>
      </c>
      <c r="Q233" s="18" t="str">
        <f t="shared" si="3"/>
        <v>BM BB02 _ B _ Chromatographie liquide haute performance  avec détection par spectrométrie de masse en tandem (LC-MS/MS) _ Quantitatif _ Semi-automatisée _ 1 _ Système HPLC Shimadzu couplé à spectromètre de masse ABSciex 4000QTrap</v>
      </c>
      <c r="R233" s="286"/>
    </row>
    <row r="234" spans="1:18" ht="127.5" x14ac:dyDescent="0.2">
      <c r="A234" s="14" t="s">
        <v>20</v>
      </c>
      <c r="B234" s="19" t="s">
        <v>536</v>
      </c>
      <c r="C234" s="19" t="s">
        <v>22</v>
      </c>
      <c r="D234" s="15" t="s">
        <v>23</v>
      </c>
      <c r="E234" s="14" t="s">
        <v>553</v>
      </c>
      <c r="F234" s="19" t="s">
        <v>25</v>
      </c>
      <c r="G234" s="19" t="s">
        <v>554</v>
      </c>
      <c r="H234" s="19" t="s">
        <v>27</v>
      </c>
      <c r="I234" s="19" t="s">
        <v>182</v>
      </c>
      <c r="J234" s="16">
        <v>1</v>
      </c>
      <c r="K234" s="19" t="s">
        <v>551</v>
      </c>
      <c r="L234" s="19" t="s">
        <v>555</v>
      </c>
      <c r="M234" s="29"/>
      <c r="N234" s="14" t="s">
        <v>282</v>
      </c>
      <c r="O234" s="16" t="s">
        <v>184</v>
      </c>
      <c r="P234" s="296">
        <v>24</v>
      </c>
      <c r="Q234" s="18" t="str">
        <f t="shared" si="3"/>
        <v>BM BB02 _ B _ Chromatographie liquide haute performance (CLHP) avec détection par spectrométrie de masse en tandem (MSMS) _ Quantitatif _ Semi-automatisée _ 1 _ Système HPLC Shimadzu couplé à spectromètre de masse ABSciex 4000QTrap</v>
      </c>
      <c r="R234" s="286"/>
    </row>
    <row r="235" spans="1:18" ht="127.5" x14ac:dyDescent="0.2">
      <c r="A235" s="14" t="s">
        <v>20</v>
      </c>
      <c r="B235" s="19" t="s">
        <v>536</v>
      </c>
      <c r="C235" s="19" t="s">
        <v>22</v>
      </c>
      <c r="D235" s="15" t="s">
        <v>23</v>
      </c>
      <c r="E235" s="14" t="s">
        <v>556</v>
      </c>
      <c r="F235" s="19" t="s">
        <v>25</v>
      </c>
      <c r="G235" s="19" t="s">
        <v>554</v>
      </c>
      <c r="H235" s="19" t="s">
        <v>27</v>
      </c>
      <c r="I235" s="19" t="s">
        <v>182</v>
      </c>
      <c r="J235" s="16">
        <v>1</v>
      </c>
      <c r="K235" s="19" t="s">
        <v>551</v>
      </c>
      <c r="L235" s="19" t="s">
        <v>557</v>
      </c>
      <c r="M235" s="29"/>
      <c r="N235" s="14" t="s">
        <v>282</v>
      </c>
      <c r="O235" s="16" t="s">
        <v>184</v>
      </c>
      <c r="P235" s="296">
        <v>24</v>
      </c>
      <c r="Q235" s="18" t="str">
        <f t="shared" si="3"/>
        <v>BM BB02 _ B _ Chromatographie liquide haute performance (CLHP) avec détection par spectrométrie de masse en tandem (MSMS) _ Quantitatif _ Semi-automatisée _ 1 _ Système HPLC Shimadzu couplé à spectromètre de masse ABSciex 4000QTrap</v>
      </c>
      <c r="R235" s="286"/>
    </row>
    <row r="236" spans="1:18" ht="102" x14ac:dyDescent="0.2">
      <c r="A236" s="14" t="s">
        <v>20</v>
      </c>
      <c r="B236" s="56" t="s">
        <v>536</v>
      </c>
      <c r="C236" s="56" t="s">
        <v>22</v>
      </c>
      <c r="D236" s="57" t="s">
        <v>23</v>
      </c>
      <c r="E236" s="56" t="s">
        <v>558</v>
      </c>
      <c r="F236" s="56" t="s">
        <v>292</v>
      </c>
      <c r="G236" s="56" t="s">
        <v>559</v>
      </c>
      <c r="H236" s="56" t="s">
        <v>27</v>
      </c>
      <c r="I236" s="56" t="s">
        <v>182</v>
      </c>
      <c r="J236" s="46">
        <v>1</v>
      </c>
      <c r="K236" s="56" t="s">
        <v>560</v>
      </c>
      <c r="L236" s="57" t="s">
        <v>561</v>
      </c>
      <c r="M236" s="43"/>
      <c r="N236" s="58" t="s">
        <v>282</v>
      </c>
      <c r="O236" s="59" t="s">
        <v>184</v>
      </c>
      <c r="P236" s="296">
        <v>609</v>
      </c>
      <c r="Q236" s="18" t="str">
        <f t="shared" si="3"/>
        <v>BM BB02 _ B _ Chromatographie en phase gazeuse avec detection par spectrométrie      de masse _ Quantitatif _ Semi-automatisée _ 1 _ SHIMADZU QP2010</v>
      </c>
      <c r="R236" s="286"/>
    </row>
    <row r="237" spans="1:18" ht="76.5" x14ac:dyDescent="0.2">
      <c r="A237" s="14" t="s">
        <v>20</v>
      </c>
      <c r="B237" s="19" t="s">
        <v>536</v>
      </c>
      <c r="C237" s="19" t="s">
        <v>22</v>
      </c>
      <c r="D237" s="15" t="s">
        <v>23</v>
      </c>
      <c r="E237" s="14" t="s">
        <v>562</v>
      </c>
      <c r="F237" s="19" t="s">
        <v>563</v>
      </c>
      <c r="G237" s="19" t="s">
        <v>564</v>
      </c>
      <c r="H237" s="19" t="s">
        <v>27</v>
      </c>
      <c r="I237" s="19" t="s">
        <v>28</v>
      </c>
      <c r="J237" s="16">
        <v>2</v>
      </c>
      <c r="K237" s="19" t="s">
        <v>565</v>
      </c>
      <c r="L237" s="19" t="s">
        <v>566</v>
      </c>
      <c r="M237" s="19"/>
      <c r="N237" s="14" t="s">
        <v>282</v>
      </c>
      <c r="O237" s="16" t="s">
        <v>31</v>
      </c>
      <c r="P237" s="296">
        <v>269</v>
      </c>
      <c r="Q237" s="18" t="str">
        <f t="shared" si="3"/>
        <v>BM BB02 _ A _ FIA avec détection par spectrométrie de masse en tandem (MSMS) _ Quantitatif _ Automatisée _ 2 _ FIA, Injecteur : 2 Qsight HC Autosampler MD et MSMS : PerkinElmer Qsight 225MD</v>
      </c>
      <c r="R237" s="286"/>
    </row>
    <row r="238" spans="1:18" ht="76.5" x14ac:dyDescent="0.2">
      <c r="A238" s="14" t="s">
        <v>20</v>
      </c>
      <c r="B238" s="19" t="s">
        <v>536</v>
      </c>
      <c r="C238" s="19" t="s">
        <v>22</v>
      </c>
      <c r="D238" s="15" t="s">
        <v>23</v>
      </c>
      <c r="E238" s="14" t="s">
        <v>567</v>
      </c>
      <c r="F238" s="19" t="s">
        <v>563</v>
      </c>
      <c r="G238" s="19" t="s">
        <v>564</v>
      </c>
      <c r="H238" s="19" t="s">
        <v>27</v>
      </c>
      <c r="I238" s="19" t="s">
        <v>28</v>
      </c>
      <c r="J238" s="16">
        <v>2</v>
      </c>
      <c r="K238" s="19" t="s">
        <v>565</v>
      </c>
      <c r="L238" s="19" t="s">
        <v>568</v>
      </c>
      <c r="M238" s="19"/>
      <c r="N238" s="14" t="s">
        <v>282</v>
      </c>
      <c r="O238" s="16" t="s">
        <v>31</v>
      </c>
      <c r="P238" s="296">
        <v>269</v>
      </c>
      <c r="Q238" s="18" t="str">
        <f t="shared" si="3"/>
        <v>BM BB02 _ A _ FIA avec détection par spectrométrie de masse en tandem (MSMS) _ Quantitatif _ Automatisée _ 2 _ FIA, Injecteur : 2 Qsight HC Autosampler MD et MSMS : PerkinElmer Qsight 225MD</v>
      </c>
      <c r="R238" s="286"/>
    </row>
    <row r="239" spans="1:18" ht="76.5" x14ac:dyDescent="0.2">
      <c r="A239" s="14" t="s">
        <v>20</v>
      </c>
      <c r="B239" s="19" t="s">
        <v>536</v>
      </c>
      <c r="C239" s="19" t="s">
        <v>22</v>
      </c>
      <c r="D239" s="15" t="s">
        <v>23</v>
      </c>
      <c r="E239" s="14" t="s">
        <v>569</v>
      </c>
      <c r="F239" s="19" t="s">
        <v>563</v>
      </c>
      <c r="G239" s="19" t="s">
        <v>564</v>
      </c>
      <c r="H239" s="19" t="s">
        <v>27</v>
      </c>
      <c r="I239" s="19" t="s">
        <v>28</v>
      </c>
      <c r="J239" s="16">
        <v>2</v>
      </c>
      <c r="K239" s="19" t="s">
        <v>565</v>
      </c>
      <c r="L239" s="19" t="s">
        <v>570</v>
      </c>
      <c r="M239" s="19"/>
      <c r="N239" s="14" t="s">
        <v>282</v>
      </c>
      <c r="O239" s="16" t="s">
        <v>31</v>
      </c>
      <c r="P239" s="296">
        <v>269</v>
      </c>
      <c r="Q239" s="18" t="str">
        <f t="shared" si="3"/>
        <v>BM BB02 _ A _ FIA avec détection par spectrométrie de masse en tandem (MSMS) _ Quantitatif _ Automatisée _ 2 _ FIA, Injecteur : 2 Qsight HC Autosampler MD et MSMS : PerkinElmer Qsight 225MD</v>
      </c>
      <c r="R239" s="286"/>
    </row>
    <row r="240" spans="1:18" ht="76.5" x14ac:dyDescent="0.2">
      <c r="A240" s="14" t="s">
        <v>20</v>
      </c>
      <c r="B240" s="19" t="s">
        <v>536</v>
      </c>
      <c r="C240" s="19" t="s">
        <v>22</v>
      </c>
      <c r="D240" s="15" t="s">
        <v>23</v>
      </c>
      <c r="E240" s="14" t="s">
        <v>571</v>
      </c>
      <c r="F240" s="19" t="s">
        <v>563</v>
      </c>
      <c r="G240" s="19" t="s">
        <v>564</v>
      </c>
      <c r="H240" s="19" t="s">
        <v>27</v>
      </c>
      <c r="I240" s="19" t="s">
        <v>28</v>
      </c>
      <c r="J240" s="16">
        <v>2</v>
      </c>
      <c r="K240" s="19" t="s">
        <v>565</v>
      </c>
      <c r="L240" s="19" t="s">
        <v>572</v>
      </c>
      <c r="M240" s="19"/>
      <c r="N240" s="14" t="s">
        <v>282</v>
      </c>
      <c r="O240" s="16" t="s">
        <v>31</v>
      </c>
      <c r="P240" s="296">
        <v>269</v>
      </c>
      <c r="Q240" s="18" t="str">
        <f t="shared" si="3"/>
        <v>BM BB02 _ A _ FIA avec détection par spectrométrie de masse en tandem (MSMS) _ Quantitatif _ Automatisée _ 2 _ FIA, Injecteur : 2 Qsight HC Autosampler MD et MSMS : PerkinElmer Qsight 225MD</v>
      </c>
      <c r="R240" s="286"/>
    </row>
    <row r="241" spans="1:18" ht="76.5" x14ac:dyDescent="0.2">
      <c r="A241" s="14" t="s">
        <v>20</v>
      </c>
      <c r="B241" s="19" t="s">
        <v>536</v>
      </c>
      <c r="C241" s="19" t="s">
        <v>22</v>
      </c>
      <c r="D241" s="15" t="s">
        <v>23</v>
      </c>
      <c r="E241" s="14" t="s">
        <v>573</v>
      </c>
      <c r="F241" s="19" t="s">
        <v>563</v>
      </c>
      <c r="G241" s="19" t="s">
        <v>564</v>
      </c>
      <c r="H241" s="19" t="s">
        <v>27</v>
      </c>
      <c r="I241" s="19" t="s">
        <v>28</v>
      </c>
      <c r="J241" s="16">
        <v>2</v>
      </c>
      <c r="K241" s="19" t="s">
        <v>565</v>
      </c>
      <c r="L241" s="19" t="s">
        <v>574</v>
      </c>
      <c r="M241" s="19"/>
      <c r="N241" s="14" t="s">
        <v>282</v>
      </c>
      <c r="O241" s="16" t="s">
        <v>31</v>
      </c>
      <c r="P241" s="296">
        <v>269</v>
      </c>
      <c r="Q241" s="18" t="str">
        <f t="shared" si="3"/>
        <v>BM BB02 _ A _ FIA avec détection par spectrométrie de masse en tandem (MSMS) _ Quantitatif _ Automatisée _ 2 _ FIA, Injecteur : 2 Qsight HC Autosampler MD et MSMS : PerkinElmer Qsight 225MD</v>
      </c>
      <c r="R241" s="286"/>
    </row>
    <row r="242" spans="1:18" ht="76.5" x14ac:dyDescent="0.2">
      <c r="A242" s="14" t="s">
        <v>20</v>
      </c>
      <c r="B242" s="19" t="s">
        <v>536</v>
      </c>
      <c r="C242" s="19" t="s">
        <v>22</v>
      </c>
      <c r="D242" s="15" t="s">
        <v>23</v>
      </c>
      <c r="E242" s="14" t="s">
        <v>575</v>
      </c>
      <c r="F242" s="19" t="s">
        <v>563</v>
      </c>
      <c r="G242" s="19" t="s">
        <v>564</v>
      </c>
      <c r="H242" s="19" t="s">
        <v>27</v>
      </c>
      <c r="I242" s="19" t="s">
        <v>28</v>
      </c>
      <c r="J242" s="16">
        <v>2</v>
      </c>
      <c r="K242" s="19" t="s">
        <v>565</v>
      </c>
      <c r="L242" s="19" t="s">
        <v>576</v>
      </c>
      <c r="M242" s="19"/>
      <c r="N242" s="14" t="s">
        <v>282</v>
      </c>
      <c r="O242" s="16" t="s">
        <v>31</v>
      </c>
      <c r="P242" s="296">
        <v>269</v>
      </c>
      <c r="Q242" s="18" t="str">
        <f t="shared" si="3"/>
        <v>BM BB02 _ A _ FIA avec détection par spectrométrie de masse en tandem (MSMS) _ Quantitatif _ Automatisée _ 2 _ FIA, Injecteur : 2 Qsight HC Autosampler MD et MSMS : PerkinElmer Qsight 225MD</v>
      </c>
      <c r="R242" s="286"/>
    </row>
    <row r="243" spans="1:18" ht="76.5" x14ac:dyDescent="0.2">
      <c r="A243" s="14" t="s">
        <v>20</v>
      </c>
      <c r="B243" s="19" t="s">
        <v>536</v>
      </c>
      <c r="C243" s="19" t="s">
        <v>22</v>
      </c>
      <c r="D243" s="15" t="s">
        <v>23</v>
      </c>
      <c r="E243" s="14" t="s">
        <v>577</v>
      </c>
      <c r="F243" s="19" t="s">
        <v>563</v>
      </c>
      <c r="G243" s="19" t="s">
        <v>564</v>
      </c>
      <c r="H243" s="19" t="s">
        <v>27</v>
      </c>
      <c r="I243" s="19" t="s">
        <v>28</v>
      </c>
      <c r="J243" s="16">
        <v>2</v>
      </c>
      <c r="K243" s="19" t="s">
        <v>565</v>
      </c>
      <c r="L243" s="19" t="s">
        <v>578</v>
      </c>
      <c r="M243" s="19"/>
      <c r="N243" s="14" t="s">
        <v>282</v>
      </c>
      <c r="O243" s="16" t="s">
        <v>31</v>
      </c>
      <c r="P243" s="296">
        <v>269</v>
      </c>
      <c r="Q243" s="18" t="str">
        <f t="shared" si="3"/>
        <v>BM BB02 _ A _ FIA avec détection par spectrométrie de masse en tandem (MSMS) _ Quantitatif _ Automatisée _ 2 _ FIA, Injecteur : 2 Qsight HC Autosampler MD et MSMS : PerkinElmer Qsight 225MD</v>
      </c>
      <c r="R243" s="286"/>
    </row>
    <row r="244" spans="1:18" ht="76.5" x14ac:dyDescent="0.2">
      <c r="A244" s="14" t="s">
        <v>20</v>
      </c>
      <c r="B244" s="19" t="s">
        <v>536</v>
      </c>
      <c r="C244" s="19" t="s">
        <v>22</v>
      </c>
      <c r="D244" s="15" t="s">
        <v>23</v>
      </c>
      <c r="E244" s="14" t="s">
        <v>579</v>
      </c>
      <c r="F244" s="19" t="s">
        <v>563</v>
      </c>
      <c r="G244" s="19" t="s">
        <v>564</v>
      </c>
      <c r="H244" s="19" t="s">
        <v>27</v>
      </c>
      <c r="I244" s="19" t="s">
        <v>28</v>
      </c>
      <c r="J244" s="16">
        <v>2</v>
      </c>
      <c r="K244" s="19" t="s">
        <v>565</v>
      </c>
      <c r="L244" s="19" t="s">
        <v>580</v>
      </c>
      <c r="M244" s="19"/>
      <c r="N244" s="14" t="s">
        <v>282</v>
      </c>
      <c r="O244" s="16" t="s">
        <v>31</v>
      </c>
      <c r="P244" s="296">
        <v>269</v>
      </c>
      <c r="Q244" s="18" t="str">
        <f t="shared" si="3"/>
        <v>BM BB02 _ A _ FIA avec détection par spectrométrie de masse en tandem (MSMS) _ Quantitatif _ Automatisée _ 2 _ FIA, Injecteur : 2 Qsight HC Autosampler MD et MSMS : PerkinElmer Qsight 225MD</v>
      </c>
      <c r="R244" s="286"/>
    </row>
    <row r="245" spans="1:18" ht="76.5" x14ac:dyDescent="0.2">
      <c r="A245" s="14" t="s">
        <v>20</v>
      </c>
      <c r="B245" s="19" t="s">
        <v>536</v>
      </c>
      <c r="C245" s="19" t="s">
        <v>22</v>
      </c>
      <c r="D245" s="15" t="s">
        <v>23</v>
      </c>
      <c r="E245" s="14" t="s">
        <v>581</v>
      </c>
      <c r="F245" s="19" t="s">
        <v>563</v>
      </c>
      <c r="G245" s="19" t="s">
        <v>564</v>
      </c>
      <c r="H245" s="19" t="s">
        <v>27</v>
      </c>
      <c r="I245" s="19" t="s">
        <v>28</v>
      </c>
      <c r="J245" s="16">
        <v>2</v>
      </c>
      <c r="K245" s="19" t="s">
        <v>582</v>
      </c>
      <c r="L245" s="19" t="s">
        <v>583</v>
      </c>
      <c r="M245" s="19"/>
      <c r="N245" s="14" t="s">
        <v>282</v>
      </c>
      <c r="O245" s="16" t="s">
        <v>31</v>
      </c>
      <c r="P245" s="296">
        <v>441</v>
      </c>
      <c r="Q245" s="18" t="str">
        <f t="shared" si="3"/>
        <v>BM BB02 _ A _ FIA avec détection par spectrométrie de masse en tandem (MSMS) _ Quantitatif _ Automatisée _ 2 _ FIA, Injecteur : Qsight HC Autosampler MD et MSMS : PerkinElmer Qsight 225MD</v>
      </c>
      <c r="R245" s="286"/>
    </row>
    <row r="246" spans="1:18" ht="76.5" x14ac:dyDescent="0.2">
      <c r="A246" s="14" t="s">
        <v>20</v>
      </c>
      <c r="B246" s="19" t="s">
        <v>536</v>
      </c>
      <c r="C246" s="19" t="s">
        <v>22</v>
      </c>
      <c r="D246" s="15" t="s">
        <v>23</v>
      </c>
      <c r="E246" s="14" t="s">
        <v>584</v>
      </c>
      <c r="F246" s="19" t="s">
        <v>563</v>
      </c>
      <c r="G246" s="19" t="s">
        <v>564</v>
      </c>
      <c r="H246" s="19" t="s">
        <v>27</v>
      </c>
      <c r="I246" s="19" t="s">
        <v>28</v>
      </c>
      <c r="J246" s="16">
        <v>2</v>
      </c>
      <c r="K246" s="19" t="s">
        <v>582</v>
      </c>
      <c r="L246" s="19" t="s">
        <v>585</v>
      </c>
      <c r="M246" s="19"/>
      <c r="N246" s="14" t="s">
        <v>282</v>
      </c>
      <c r="O246" s="16" t="s">
        <v>31</v>
      </c>
      <c r="P246" s="296">
        <v>326</v>
      </c>
      <c r="Q246" s="18" t="str">
        <f t="shared" si="3"/>
        <v>BM BB02 _ A _ FIA avec détection par spectrométrie de masse en tandem (MSMS) _ Quantitatif _ Automatisée _ 2 _ FIA, Injecteur : Qsight HC Autosampler MD et MSMS : PerkinElmer Qsight 225MD</v>
      </c>
      <c r="R246" s="286"/>
    </row>
    <row r="247" spans="1:18" ht="76.5" x14ac:dyDescent="0.2">
      <c r="A247" s="14" t="s">
        <v>20</v>
      </c>
      <c r="B247" s="19" t="s">
        <v>536</v>
      </c>
      <c r="C247" s="19" t="s">
        <v>22</v>
      </c>
      <c r="D247" s="15" t="s">
        <v>23</v>
      </c>
      <c r="E247" s="14" t="s">
        <v>586</v>
      </c>
      <c r="F247" s="19" t="s">
        <v>563</v>
      </c>
      <c r="G247" s="19" t="s">
        <v>564</v>
      </c>
      <c r="H247" s="19" t="s">
        <v>27</v>
      </c>
      <c r="I247" s="19" t="s">
        <v>28</v>
      </c>
      <c r="J247" s="16">
        <v>2</v>
      </c>
      <c r="K247" s="19" t="s">
        <v>582</v>
      </c>
      <c r="L247" s="19" t="s">
        <v>587</v>
      </c>
      <c r="M247" s="19"/>
      <c r="N247" s="14" t="s">
        <v>282</v>
      </c>
      <c r="O247" s="16" t="s">
        <v>31</v>
      </c>
      <c r="P247" s="296">
        <v>326</v>
      </c>
      <c r="Q247" s="18" t="str">
        <f t="shared" si="3"/>
        <v>BM BB02 _ A _ FIA avec détection par spectrométrie de masse en tandem (MSMS) _ Quantitatif _ Automatisée _ 2 _ FIA, Injecteur : Qsight HC Autosampler MD et MSMS : PerkinElmer Qsight 225MD</v>
      </c>
      <c r="R247" s="286"/>
    </row>
    <row r="248" spans="1:18" ht="76.5" x14ac:dyDescent="0.2">
      <c r="A248" s="14" t="s">
        <v>20</v>
      </c>
      <c r="B248" s="19" t="s">
        <v>536</v>
      </c>
      <c r="C248" s="19" t="s">
        <v>22</v>
      </c>
      <c r="D248" s="15" t="s">
        <v>23</v>
      </c>
      <c r="E248" s="14" t="s">
        <v>588</v>
      </c>
      <c r="F248" s="19" t="s">
        <v>563</v>
      </c>
      <c r="G248" s="19" t="s">
        <v>564</v>
      </c>
      <c r="H248" s="19" t="s">
        <v>27</v>
      </c>
      <c r="I248" s="19" t="s">
        <v>28</v>
      </c>
      <c r="J248" s="16">
        <v>2</v>
      </c>
      <c r="K248" s="19" t="s">
        <v>582</v>
      </c>
      <c r="L248" s="19" t="s">
        <v>589</v>
      </c>
      <c r="M248" s="19"/>
      <c r="N248" s="14" t="s">
        <v>282</v>
      </c>
      <c r="O248" s="16" t="s">
        <v>31</v>
      </c>
      <c r="P248" s="296">
        <v>326</v>
      </c>
      <c r="Q248" s="18" t="str">
        <f t="shared" si="3"/>
        <v>BM BB02 _ A _ FIA avec détection par spectrométrie de masse en tandem (MSMS) _ Quantitatif _ Automatisée _ 2 _ FIA, Injecteur : Qsight HC Autosampler MD et MSMS : PerkinElmer Qsight 225MD</v>
      </c>
      <c r="R248" s="286"/>
    </row>
    <row r="249" spans="1:18" ht="76.5" x14ac:dyDescent="0.2">
      <c r="A249" s="14" t="s">
        <v>20</v>
      </c>
      <c r="B249" s="19" t="s">
        <v>536</v>
      </c>
      <c r="C249" s="19" t="s">
        <v>22</v>
      </c>
      <c r="D249" s="15" t="s">
        <v>23</v>
      </c>
      <c r="E249" s="14" t="s">
        <v>590</v>
      </c>
      <c r="F249" s="19" t="s">
        <v>563</v>
      </c>
      <c r="G249" s="19" t="s">
        <v>564</v>
      </c>
      <c r="H249" s="19" t="s">
        <v>27</v>
      </c>
      <c r="I249" s="19" t="s">
        <v>28</v>
      </c>
      <c r="J249" s="16">
        <v>2</v>
      </c>
      <c r="K249" s="19" t="s">
        <v>582</v>
      </c>
      <c r="L249" s="19" t="s">
        <v>591</v>
      </c>
      <c r="M249" s="19"/>
      <c r="N249" s="14" t="s">
        <v>282</v>
      </c>
      <c r="O249" s="16" t="s">
        <v>31</v>
      </c>
      <c r="P249" s="296">
        <v>326</v>
      </c>
      <c r="Q249" s="18" t="str">
        <f t="shared" si="3"/>
        <v>BM BB02 _ A _ FIA avec détection par spectrométrie de masse en tandem (MSMS) _ Quantitatif _ Automatisée _ 2 _ FIA, Injecteur : Qsight HC Autosampler MD et MSMS : PerkinElmer Qsight 225MD</v>
      </c>
      <c r="R249" s="286"/>
    </row>
    <row r="250" spans="1:18" ht="76.5" x14ac:dyDescent="0.2">
      <c r="A250" s="14" t="s">
        <v>20</v>
      </c>
      <c r="B250" s="60" t="s">
        <v>536</v>
      </c>
      <c r="C250" s="60" t="s">
        <v>22</v>
      </c>
      <c r="D250" s="61" t="s">
        <v>23</v>
      </c>
      <c r="E250" s="62" t="s">
        <v>592</v>
      </c>
      <c r="F250" s="60" t="s">
        <v>563</v>
      </c>
      <c r="G250" s="60" t="s">
        <v>564</v>
      </c>
      <c r="H250" s="60" t="s">
        <v>27</v>
      </c>
      <c r="I250" s="60" t="s">
        <v>28</v>
      </c>
      <c r="J250" s="16">
        <v>2</v>
      </c>
      <c r="K250" s="60" t="s">
        <v>582</v>
      </c>
      <c r="L250" s="60" t="s">
        <v>593</v>
      </c>
      <c r="M250" s="19"/>
      <c r="N250" s="62" t="s">
        <v>282</v>
      </c>
      <c r="O250" s="63" t="s">
        <v>31</v>
      </c>
      <c r="P250" s="296">
        <v>326</v>
      </c>
      <c r="Q250" s="18" t="str">
        <f t="shared" si="3"/>
        <v>BM BB02 _ A _ FIA avec détection par spectrométrie de masse en tandem (MSMS) _ Quantitatif _ Automatisée _ 2 _ FIA, Injecteur : Qsight HC Autosampler MD et MSMS : PerkinElmer Qsight 225MD</v>
      </c>
      <c r="R250" s="286"/>
    </row>
    <row r="251" spans="1:18" ht="76.5" x14ac:dyDescent="0.2">
      <c r="A251" s="14" t="s">
        <v>20</v>
      </c>
      <c r="B251" s="19" t="s">
        <v>536</v>
      </c>
      <c r="C251" s="19" t="s">
        <v>22</v>
      </c>
      <c r="D251" s="15" t="s">
        <v>23</v>
      </c>
      <c r="E251" s="14" t="s">
        <v>594</v>
      </c>
      <c r="F251" s="19" t="s">
        <v>563</v>
      </c>
      <c r="G251" s="19" t="s">
        <v>564</v>
      </c>
      <c r="H251" s="19" t="s">
        <v>27</v>
      </c>
      <c r="I251" s="19" t="s">
        <v>28</v>
      </c>
      <c r="J251" s="16">
        <v>2</v>
      </c>
      <c r="K251" s="19" t="s">
        <v>582</v>
      </c>
      <c r="L251" s="19" t="s">
        <v>595</v>
      </c>
      <c r="M251" s="19"/>
      <c r="N251" s="14" t="s">
        <v>282</v>
      </c>
      <c r="O251" s="16" t="s">
        <v>31</v>
      </c>
      <c r="P251" s="296">
        <v>326</v>
      </c>
      <c r="Q251" s="18" t="str">
        <f t="shared" si="3"/>
        <v>BM BB02 _ A _ FIA avec détection par spectrométrie de masse en tandem (MSMS) _ Quantitatif _ Automatisée _ 2 _ FIA, Injecteur : Qsight HC Autosampler MD et MSMS : PerkinElmer Qsight 225MD</v>
      </c>
      <c r="R251" s="286"/>
    </row>
    <row r="252" spans="1:18" ht="76.5" x14ac:dyDescent="0.2">
      <c r="A252" s="14" t="s">
        <v>20</v>
      </c>
      <c r="B252" s="19" t="s">
        <v>536</v>
      </c>
      <c r="C252" s="19" t="s">
        <v>22</v>
      </c>
      <c r="D252" s="15" t="s">
        <v>23</v>
      </c>
      <c r="E252" s="14" t="s">
        <v>596</v>
      </c>
      <c r="F252" s="19" t="s">
        <v>563</v>
      </c>
      <c r="G252" s="19" t="s">
        <v>564</v>
      </c>
      <c r="H252" s="19" t="s">
        <v>27</v>
      </c>
      <c r="I252" s="19" t="s">
        <v>28</v>
      </c>
      <c r="J252" s="16">
        <v>2</v>
      </c>
      <c r="K252" s="19" t="s">
        <v>582</v>
      </c>
      <c r="L252" s="19" t="s">
        <v>597</v>
      </c>
      <c r="M252" s="19"/>
      <c r="N252" s="14" t="s">
        <v>282</v>
      </c>
      <c r="O252" s="16" t="s">
        <v>31</v>
      </c>
      <c r="P252" s="296">
        <v>326</v>
      </c>
      <c r="Q252" s="18" t="str">
        <f t="shared" si="3"/>
        <v>BM BB02 _ A _ FIA avec détection par spectrométrie de masse en tandem (MSMS) _ Quantitatif _ Automatisée _ 2 _ FIA, Injecteur : Qsight HC Autosampler MD et MSMS : PerkinElmer Qsight 225MD</v>
      </c>
      <c r="R252" s="286"/>
    </row>
    <row r="253" spans="1:18" ht="60.75" customHeight="1" x14ac:dyDescent="0.2">
      <c r="A253" s="14" t="s">
        <v>20</v>
      </c>
      <c r="B253" s="19" t="s">
        <v>536</v>
      </c>
      <c r="C253" s="19" t="s">
        <v>22</v>
      </c>
      <c r="D253" s="15" t="s">
        <v>23</v>
      </c>
      <c r="E253" s="14" t="s">
        <v>598</v>
      </c>
      <c r="F253" s="19" t="s">
        <v>563</v>
      </c>
      <c r="G253" s="19" t="s">
        <v>564</v>
      </c>
      <c r="H253" s="19" t="s">
        <v>27</v>
      </c>
      <c r="I253" s="19" t="s">
        <v>28</v>
      </c>
      <c r="J253" s="16">
        <v>2</v>
      </c>
      <c r="K253" s="19" t="s">
        <v>565</v>
      </c>
      <c r="L253" s="19" t="s">
        <v>599</v>
      </c>
      <c r="M253" s="19"/>
      <c r="N253" s="14" t="s">
        <v>282</v>
      </c>
      <c r="O253" s="16" t="s">
        <v>31</v>
      </c>
      <c r="P253" s="296">
        <v>326</v>
      </c>
      <c r="Q253" s="18" t="str">
        <f t="shared" si="3"/>
        <v>BM BB02 _ A _ FIA avec détection par spectrométrie de masse en tandem (MSMS) _ Quantitatif _ Automatisée _ 2 _ FIA, Injecteur : 2 Qsight HC Autosampler MD et MSMS : PerkinElmer Qsight 225MD</v>
      </c>
      <c r="R253" s="286"/>
    </row>
    <row r="254" spans="1:18" ht="76.5" x14ac:dyDescent="0.2">
      <c r="A254" s="14" t="s">
        <v>20</v>
      </c>
      <c r="B254" s="19" t="s">
        <v>536</v>
      </c>
      <c r="C254" s="19" t="s">
        <v>22</v>
      </c>
      <c r="D254" s="15" t="s">
        <v>23</v>
      </c>
      <c r="E254" s="14" t="s">
        <v>600</v>
      </c>
      <c r="F254" s="19" t="s">
        <v>563</v>
      </c>
      <c r="G254" s="19" t="s">
        <v>564</v>
      </c>
      <c r="H254" s="19" t="s">
        <v>27</v>
      </c>
      <c r="I254" s="19" t="s">
        <v>28</v>
      </c>
      <c r="J254" s="16">
        <v>2</v>
      </c>
      <c r="K254" s="19" t="s">
        <v>565</v>
      </c>
      <c r="L254" s="19" t="s">
        <v>601</v>
      </c>
      <c r="M254" s="19"/>
      <c r="N254" s="14" t="s">
        <v>282</v>
      </c>
      <c r="O254" s="16" t="s">
        <v>31</v>
      </c>
      <c r="P254" s="296">
        <v>326</v>
      </c>
      <c r="Q254" s="18" t="str">
        <f t="shared" si="3"/>
        <v>BM BB02 _ A _ FIA avec détection par spectrométrie de masse en tandem (MSMS) _ Quantitatif _ Automatisée _ 2 _ FIA, Injecteur : 2 Qsight HC Autosampler MD et MSMS : PerkinElmer Qsight 225MD</v>
      </c>
      <c r="R254" s="286"/>
    </row>
    <row r="255" spans="1:18" ht="76.5" x14ac:dyDescent="0.2">
      <c r="A255" s="14" t="s">
        <v>20</v>
      </c>
      <c r="B255" s="19" t="s">
        <v>536</v>
      </c>
      <c r="C255" s="19" t="s">
        <v>22</v>
      </c>
      <c r="D255" s="15" t="s">
        <v>23</v>
      </c>
      <c r="E255" s="14" t="s">
        <v>602</v>
      </c>
      <c r="F255" s="19" t="s">
        <v>563</v>
      </c>
      <c r="G255" s="19" t="s">
        <v>564</v>
      </c>
      <c r="H255" s="19" t="s">
        <v>27</v>
      </c>
      <c r="I255" s="19" t="s">
        <v>28</v>
      </c>
      <c r="J255" s="16">
        <v>2</v>
      </c>
      <c r="K255" s="19" t="s">
        <v>582</v>
      </c>
      <c r="L255" s="19" t="s">
        <v>603</v>
      </c>
      <c r="M255" s="19"/>
      <c r="N255" s="14" t="s">
        <v>282</v>
      </c>
      <c r="O255" s="16" t="s">
        <v>31</v>
      </c>
      <c r="P255" s="296">
        <v>326</v>
      </c>
      <c r="Q255" s="18" t="str">
        <f t="shared" si="3"/>
        <v>BM BB02 _ A _ FIA avec détection par spectrométrie de masse en tandem (MSMS) _ Quantitatif _ Automatisée _ 2 _ FIA, Injecteur : Qsight HC Autosampler MD et MSMS : PerkinElmer Qsight 225MD</v>
      </c>
      <c r="R255" s="286"/>
    </row>
    <row r="256" spans="1:18" ht="76.5" x14ac:dyDescent="0.2">
      <c r="A256" s="14" t="s">
        <v>20</v>
      </c>
      <c r="B256" s="19" t="s">
        <v>536</v>
      </c>
      <c r="C256" s="19" t="s">
        <v>22</v>
      </c>
      <c r="D256" s="15" t="s">
        <v>23</v>
      </c>
      <c r="E256" s="14" t="s">
        <v>604</v>
      </c>
      <c r="F256" s="19" t="s">
        <v>563</v>
      </c>
      <c r="G256" s="19" t="s">
        <v>564</v>
      </c>
      <c r="H256" s="19" t="s">
        <v>27</v>
      </c>
      <c r="I256" s="19" t="s">
        <v>28</v>
      </c>
      <c r="J256" s="16">
        <v>2</v>
      </c>
      <c r="K256" s="19" t="s">
        <v>582</v>
      </c>
      <c r="L256" s="19" t="s">
        <v>605</v>
      </c>
      <c r="M256" s="19"/>
      <c r="N256" s="14" t="s">
        <v>282</v>
      </c>
      <c r="O256" s="16" t="s">
        <v>31</v>
      </c>
      <c r="P256" s="296">
        <v>326</v>
      </c>
      <c r="Q256" s="18" t="str">
        <f t="shared" si="3"/>
        <v>BM BB02 _ A _ FIA avec détection par spectrométrie de masse en tandem (MSMS) _ Quantitatif _ Automatisée _ 2 _ FIA, Injecteur : Qsight HC Autosampler MD et MSMS : PerkinElmer Qsight 225MD</v>
      </c>
      <c r="R256" s="286"/>
    </row>
    <row r="257" spans="1:18" ht="76.5" x14ac:dyDescent="0.2">
      <c r="A257" s="14" t="s">
        <v>20</v>
      </c>
      <c r="B257" s="19" t="s">
        <v>536</v>
      </c>
      <c r="C257" s="19" t="s">
        <v>22</v>
      </c>
      <c r="D257" s="15" t="s">
        <v>23</v>
      </c>
      <c r="E257" s="14" t="s">
        <v>606</v>
      </c>
      <c r="F257" s="19" t="s">
        <v>563</v>
      </c>
      <c r="G257" s="19" t="s">
        <v>564</v>
      </c>
      <c r="H257" s="19" t="s">
        <v>27</v>
      </c>
      <c r="I257" s="19" t="s">
        <v>28</v>
      </c>
      <c r="J257" s="16">
        <v>2</v>
      </c>
      <c r="K257" s="19" t="s">
        <v>582</v>
      </c>
      <c r="L257" s="19" t="s">
        <v>607</v>
      </c>
      <c r="M257" s="19"/>
      <c r="N257" s="14" t="s">
        <v>282</v>
      </c>
      <c r="O257" s="16" t="s">
        <v>31</v>
      </c>
      <c r="P257" s="296">
        <v>326</v>
      </c>
      <c r="Q257" s="18" t="str">
        <f t="shared" si="3"/>
        <v>BM BB02 _ A _ FIA avec détection par spectrométrie de masse en tandem (MSMS) _ Quantitatif _ Automatisée _ 2 _ FIA, Injecteur : Qsight HC Autosampler MD et MSMS : PerkinElmer Qsight 225MD</v>
      </c>
      <c r="R257" s="286"/>
    </row>
    <row r="258" spans="1:18" ht="76.5" x14ac:dyDescent="0.2">
      <c r="A258" s="14" t="s">
        <v>20</v>
      </c>
      <c r="B258" s="19" t="s">
        <v>536</v>
      </c>
      <c r="C258" s="19" t="s">
        <v>22</v>
      </c>
      <c r="D258" s="15" t="s">
        <v>23</v>
      </c>
      <c r="E258" s="14" t="s">
        <v>608</v>
      </c>
      <c r="F258" s="19" t="s">
        <v>563</v>
      </c>
      <c r="G258" s="19" t="s">
        <v>564</v>
      </c>
      <c r="H258" s="19" t="s">
        <v>27</v>
      </c>
      <c r="I258" s="19" t="s">
        <v>28</v>
      </c>
      <c r="J258" s="16">
        <v>2</v>
      </c>
      <c r="K258" s="19" t="s">
        <v>582</v>
      </c>
      <c r="L258" s="19" t="s">
        <v>609</v>
      </c>
      <c r="M258" s="19"/>
      <c r="N258" s="14" t="s">
        <v>282</v>
      </c>
      <c r="O258" s="16" t="s">
        <v>31</v>
      </c>
      <c r="P258" s="296">
        <v>326</v>
      </c>
      <c r="Q258" s="18" t="str">
        <f t="shared" si="3"/>
        <v>BM BB02 _ A _ FIA avec détection par spectrométrie de masse en tandem (MSMS) _ Quantitatif _ Automatisée _ 2 _ FIA, Injecteur : Qsight HC Autosampler MD et MSMS : PerkinElmer Qsight 225MD</v>
      </c>
      <c r="R258" s="286"/>
    </row>
    <row r="259" spans="1:18" ht="76.5" x14ac:dyDescent="0.2">
      <c r="A259" s="14" t="s">
        <v>20</v>
      </c>
      <c r="B259" s="19" t="s">
        <v>536</v>
      </c>
      <c r="C259" s="19" t="s">
        <v>22</v>
      </c>
      <c r="D259" s="15" t="s">
        <v>23</v>
      </c>
      <c r="E259" s="14" t="s">
        <v>610</v>
      </c>
      <c r="F259" s="19" t="s">
        <v>563</v>
      </c>
      <c r="G259" s="19" t="s">
        <v>564</v>
      </c>
      <c r="H259" s="19" t="s">
        <v>27</v>
      </c>
      <c r="I259" s="19" t="s">
        <v>28</v>
      </c>
      <c r="J259" s="16">
        <v>2</v>
      </c>
      <c r="K259" s="19" t="s">
        <v>582</v>
      </c>
      <c r="L259" s="19" t="s">
        <v>611</v>
      </c>
      <c r="M259" s="19"/>
      <c r="N259" s="14" t="s">
        <v>282</v>
      </c>
      <c r="O259" s="16" t="s">
        <v>31</v>
      </c>
      <c r="P259" s="296">
        <v>326</v>
      </c>
      <c r="Q259" s="18" t="str">
        <f t="shared" si="3"/>
        <v>BM BB02 _ A _ FIA avec détection par spectrométrie de masse en tandem (MSMS) _ Quantitatif _ Automatisée _ 2 _ FIA, Injecteur : Qsight HC Autosampler MD et MSMS : PerkinElmer Qsight 225MD</v>
      </c>
      <c r="R259" s="286"/>
    </row>
    <row r="260" spans="1:18" ht="76.5" x14ac:dyDescent="0.2">
      <c r="A260" s="14" t="s">
        <v>20</v>
      </c>
      <c r="B260" s="19" t="s">
        <v>536</v>
      </c>
      <c r="C260" s="19" t="s">
        <v>22</v>
      </c>
      <c r="D260" s="15" t="s">
        <v>23</v>
      </c>
      <c r="E260" s="14" t="s">
        <v>612</v>
      </c>
      <c r="F260" s="19" t="s">
        <v>563</v>
      </c>
      <c r="G260" s="19" t="s">
        <v>564</v>
      </c>
      <c r="H260" s="19" t="s">
        <v>27</v>
      </c>
      <c r="I260" s="19" t="s">
        <v>28</v>
      </c>
      <c r="J260" s="16">
        <v>2</v>
      </c>
      <c r="K260" s="19" t="s">
        <v>582</v>
      </c>
      <c r="L260" s="19" t="s">
        <v>613</v>
      </c>
      <c r="M260" s="19"/>
      <c r="N260" s="14" t="s">
        <v>282</v>
      </c>
      <c r="O260" s="16" t="s">
        <v>31</v>
      </c>
      <c r="P260" s="296">
        <v>326</v>
      </c>
      <c r="Q260" s="18" t="str">
        <f t="shared" si="3"/>
        <v>BM BB02 _ A _ FIA avec détection par spectrométrie de masse en tandem (MSMS) _ Quantitatif _ Automatisée _ 2 _ FIA, Injecteur : Qsight HC Autosampler MD et MSMS : PerkinElmer Qsight 225MD</v>
      </c>
      <c r="R260" s="286"/>
    </row>
    <row r="261" spans="1:18" ht="76.5" x14ac:dyDescent="0.2">
      <c r="A261" s="14" t="s">
        <v>20</v>
      </c>
      <c r="B261" s="19" t="s">
        <v>536</v>
      </c>
      <c r="C261" s="19" t="s">
        <v>22</v>
      </c>
      <c r="D261" s="15" t="s">
        <v>23</v>
      </c>
      <c r="E261" s="14" t="s">
        <v>614</v>
      </c>
      <c r="F261" s="19" t="s">
        <v>563</v>
      </c>
      <c r="G261" s="19" t="s">
        <v>564</v>
      </c>
      <c r="H261" s="19" t="s">
        <v>27</v>
      </c>
      <c r="I261" s="19" t="s">
        <v>28</v>
      </c>
      <c r="J261" s="16">
        <v>2</v>
      </c>
      <c r="K261" s="19" t="s">
        <v>582</v>
      </c>
      <c r="L261" s="19" t="s">
        <v>615</v>
      </c>
      <c r="M261" s="19"/>
      <c r="N261" s="14" t="s">
        <v>282</v>
      </c>
      <c r="O261" s="16" t="s">
        <v>31</v>
      </c>
      <c r="P261" s="296">
        <v>326</v>
      </c>
      <c r="Q261" s="18" t="str">
        <f t="shared" si="3"/>
        <v>BM BB02 _ A _ FIA avec détection par spectrométrie de masse en tandem (MSMS) _ Quantitatif _ Automatisée _ 2 _ FIA, Injecteur : Qsight HC Autosampler MD et MSMS : PerkinElmer Qsight 225MD</v>
      </c>
      <c r="R261" s="286"/>
    </row>
    <row r="262" spans="1:18" ht="76.5" x14ac:dyDescent="0.2">
      <c r="A262" s="14" t="s">
        <v>20</v>
      </c>
      <c r="B262" s="19" t="s">
        <v>536</v>
      </c>
      <c r="C262" s="19" t="s">
        <v>22</v>
      </c>
      <c r="D262" s="15" t="s">
        <v>23</v>
      </c>
      <c r="E262" s="14" t="s">
        <v>616</v>
      </c>
      <c r="F262" s="19" t="s">
        <v>563</v>
      </c>
      <c r="G262" s="19" t="s">
        <v>564</v>
      </c>
      <c r="H262" s="19" t="s">
        <v>27</v>
      </c>
      <c r="I262" s="19" t="s">
        <v>28</v>
      </c>
      <c r="J262" s="16">
        <v>2</v>
      </c>
      <c r="K262" s="19" t="s">
        <v>582</v>
      </c>
      <c r="L262" s="19" t="s">
        <v>617</v>
      </c>
      <c r="M262" s="19"/>
      <c r="N262" s="14" t="s">
        <v>282</v>
      </c>
      <c r="O262" s="16" t="s">
        <v>31</v>
      </c>
      <c r="P262" s="296">
        <v>326</v>
      </c>
      <c r="Q262" s="18" t="str">
        <f t="shared" si="3"/>
        <v>BM BB02 _ A _ FIA avec détection par spectrométrie de masse en tandem (MSMS) _ Quantitatif _ Automatisée _ 2 _ FIA, Injecteur : Qsight HC Autosampler MD et MSMS : PerkinElmer Qsight 225MD</v>
      </c>
      <c r="R262" s="286"/>
    </row>
    <row r="263" spans="1:18" ht="76.5" x14ac:dyDescent="0.2">
      <c r="A263" s="14" t="s">
        <v>20</v>
      </c>
      <c r="B263" s="19" t="s">
        <v>536</v>
      </c>
      <c r="C263" s="19" t="s">
        <v>22</v>
      </c>
      <c r="D263" s="15" t="s">
        <v>23</v>
      </c>
      <c r="E263" s="14" t="s">
        <v>618</v>
      </c>
      <c r="F263" s="19" t="s">
        <v>563</v>
      </c>
      <c r="G263" s="19" t="s">
        <v>564</v>
      </c>
      <c r="H263" s="19" t="s">
        <v>27</v>
      </c>
      <c r="I263" s="19" t="s">
        <v>28</v>
      </c>
      <c r="J263" s="16">
        <v>2</v>
      </c>
      <c r="K263" s="19" t="s">
        <v>582</v>
      </c>
      <c r="L263" s="19" t="s">
        <v>619</v>
      </c>
      <c r="M263" s="19"/>
      <c r="N263" s="14" t="s">
        <v>282</v>
      </c>
      <c r="O263" s="16" t="s">
        <v>31</v>
      </c>
      <c r="P263" s="296">
        <v>326</v>
      </c>
      <c r="Q263" s="18" t="str">
        <f t="shared" si="3"/>
        <v>BM BB02 _ A _ FIA avec détection par spectrométrie de masse en tandem (MSMS) _ Quantitatif _ Automatisée _ 2 _ FIA, Injecteur : Qsight HC Autosampler MD et MSMS : PerkinElmer Qsight 225MD</v>
      </c>
      <c r="R263" s="286"/>
    </row>
    <row r="264" spans="1:18" ht="76.5" x14ac:dyDescent="0.2">
      <c r="A264" s="14" t="s">
        <v>20</v>
      </c>
      <c r="B264" s="19" t="s">
        <v>536</v>
      </c>
      <c r="C264" s="19" t="s">
        <v>22</v>
      </c>
      <c r="D264" s="15" t="s">
        <v>23</v>
      </c>
      <c r="E264" s="14" t="s">
        <v>620</v>
      </c>
      <c r="F264" s="19" t="s">
        <v>563</v>
      </c>
      <c r="G264" s="19" t="s">
        <v>564</v>
      </c>
      <c r="H264" s="19" t="s">
        <v>27</v>
      </c>
      <c r="I264" s="19" t="s">
        <v>28</v>
      </c>
      <c r="J264" s="16">
        <v>2</v>
      </c>
      <c r="K264" s="19" t="s">
        <v>582</v>
      </c>
      <c r="L264" s="19" t="s">
        <v>621</v>
      </c>
      <c r="M264" s="19"/>
      <c r="N264" s="14" t="s">
        <v>282</v>
      </c>
      <c r="O264" s="16" t="s">
        <v>31</v>
      </c>
      <c r="P264" s="296">
        <v>326</v>
      </c>
      <c r="Q264" s="18" t="str">
        <f t="shared" si="3"/>
        <v>BM BB02 _ A _ FIA avec détection par spectrométrie de masse en tandem (MSMS) _ Quantitatif _ Automatisée _ 2 _ FIA, Injecteur : Qsight HC Autosampler MD et MSMS : PerkinElmer Qsight 225MD</v>
      </c>
      <c r="R264" s="286"/>
    </row>
    <row r="265" spans="1:18" ht="76.5" x14ac:dyDescent="0.2">
      <c r="A265" s="14" t="s">
        <v>20</v>
      </c>
      <c r="B265" s="19" t="s">
        <v>536</v>
      </c>
      <c r="C265" s="19" t="s">
        <v>22</v>
      </c>
      <c r="D265" s="15" t="s">
        <v>23</v>
      </c>
      <c r="E265" s="14" t="s">
        <v>622</v>
      </c>
      <c r="F265" s="19" t="s">
        <v>563</v>
      </c>
      <c r="G265" s="19" t="s">
        <v>564</v>
      </c>
      <c r="H265" s="19" t="s">
        <v>27</v>
      </c>
      <c r="I265" s="19" t="s">
        <v>28</v>
      </c>
      <c r="J265" s="16">
        <v>2</v>
      </c>
      <c r="K265" s="19" t="s">
        <v>582</v>
      </c>
      <c r="L265" s="19" t="s">
        <v>623</v>
      </c>
      <c r="M265" s="19"/>
      <c r="N265" s="14" t="s">
        <v>282</v>
      </c>
      <c r="O265" s="16" t="s">
        <v>31</v>
      </c>
      <c r="P265" s="296">
        <v>326</v>
      </c>
      <c r="Q265" s="18" t="str">
        <f t="shared" si="3"/>
        <v>BM BB02 _ A _ FIA avec détection par spectrométrie de masse en tandem (MSMS) _ Quantitatif _ Automatisée _ 2 _ FIA, Injecteur : Qsight HC Autosampler MD et MSMS : PerkinElmer Qsight 225MD</v>
      </c>
      <c r="R265" s="286"/>
    </row>
    <row r="266" spans="1:18" ht="76.5" x14ac:dyDescent="0.2">
      <c r="A266" s="14" t="s">
        <v>20</v>
      </c>
      <c r="B266" s="19" t="s">
        <v>536</v>
      </c>
      <c r="C266" s="19" t="s">
        <v>22</v>
      </c>
      <c r="D266" s="15" t="s">
        <v>23</v>
      </c>
      <c r="E266" s="20" t="s">
        <v>624</v>
      </c>
      <c r="F266" s="19" t="s">
        <v>563</v>
      </c>
      <c r="G266" s="19" t="s">
        <v>564</v>
      </c>
      <c r="H266" s="14" t="s">
        <v>27</v>
      </c>
      <c r="I266" s="14" t="s">
        <v>28</v>
      </c>
      <c r="J266" s="16">
        <v>2</v>
      </c>
      <c r="K266" s="19" t="s">
        <v>582</v>
      </c>
      <c r="L266" s="19" t="s">
        <v>625</v>
      </c>
      <c r="M266" s="19"/>
      <c r="N266" s="14" t="s">
        <v>282</v>
      </c>
      <c r="O266" s="16" t="s">
        <v>31</v>
      </c>
      <c r="P266" s="296">
        <v>142</v>
      </c>
      <c r="Q266" s="18" t="str">
        <f t="shared" si="3"/>
        <v>BM BB02 _ A _ FIA avec détection par spectrométrie de masse en tandem (MSMS) _ Quantitatif _ Automatisée _ 2 _ FIA, Injecteur : Qsight HC Autosampler MD et MSMS : PerkinElmer Qsight 225MD</v>
      </c>
      <c r="R266" s="286"/>
    </row>
    <row r="267" spans="1:18" ht="76.5" x14ac:dyDescent="0.2">
      <c r="A267" s="14" t="s">
        <v>20</v>
      </c>
      <c r="B267" s="19" t="s">
        <v>536</v>
      </c>
      <c r="C267" s="19" t="s">
        <v>22</v>
      </c>
      <c r="D267" s="15" t="s">
        <v>23</v>
      </c>
      <c r="E267" s="20" t="s">
        <v>626</v>
      </c>
      <c r="F267" s="19" t="s">
        <v>563</v>
      </c>
      <c r="G267" s="19" t="s">
        <v>564</v>
      </c>
      <c r="H267" s="14" t="s">
        <v>27</v>
      </c>
      <c r="I267" s="14" t="s">
        <v>28</v>
      </c>
      <c r="J267" s="16">
        <v>2</v>
      </c>
      <c r="K267" s="19" t="s">
        <v>582</v>
      </c>
      <c r="L267" s="19" t="s">
        <v>627</v>
      </c>
      <c r="M267" s="19"/>
      <c r="N267" s="14" t="s">
        <v>282</v>
      </c>
      <c r="O267" s="16" t="s">
        <v>31</v>
      </c>
      <c r="P267" s="296">
        <v>68</v>
      </c>
      <c r="Q267" s="18" t="str">
        <f t="shared" si="3"/>
        <v>BM BB02 _ A _ FIA avec détection par spectrométrie de masse en tandem (MSMS) _ Quantitatif _ Automatisée _ 2 _ FIA, Injecteur : Qsight HC Autosampler MD et MSMS : PerkinElmer Qsight 225MD</v>
      </c>
      <c r="R267" s="286"/>
    </row>
    <row r="268" spans="1:18" ht="76.5" x14ac:dyDescent="0.2">
      <c r="A268" s="14" t="s">
        <v>20</v>
      </c>
      <c r="B268" s="19" t="s">
        <v>536</v>
      </c>
      <c r="C268" s="19" t="s">
        <v>22</v>
      </c>
      <c r="D268" s="15" t="s">
        <v>23</v>
      </c>
      <c r="E268" s="20" t="s">
        <v>628</v>
      </c>
      <c r="F268" s="19" t="s">
        <v>563</v>
      </c>
      <c r="G268" s="19" t="s">
        <v>564</v>
      </c>
      <c r="H268" s="14" t="s">
        <v>27</v>
      </c>
      <c r="I268" s="14" t="s">
        <v>28</v>
      </c>
      <c r="J268" s="16">
        <v>2</v>
      </c>
      <c r="K268" s="19" t="s">
        <v>582</v>
      </c>
      <c r="L268" s="19" t="s">
        <v>629</v>
      </c>
      <c r="M268" s="19"/>
      <c r="N268" s="14" t="s">
        <v>282</v>
      </c>
      <c r="O268" s="16" t="s">
        <v>31</v>
      </c>
      <c r="P268" s="296">
        <v>290</v>
      </c>
      <c r="Q268" s="18" t="str">
        <f t="shared" si="3"/>
        <v>BM BB02 _ A _ FIA avec détection par spectrométrie de masse en tandem (MSMS) _ Quantitatif _ Automatisée _ 2 _ FIA, Injecteur : Qsight HC Autosampler MD et MSMS : PerkinElmer Qsight 225MD</v>
      </c>
      <c r="R268" s="286"/>
    </row>
    <row r="269" spans="1:18" ht="76.5" x14ac:dyDescent="0.2">
      <c r="A269" s="14" t="s">
        <v>20</v>
      </c>
      <c r="B269" s="19" t="s">
        <v>536</v>
      </c>
      <c r="C269" s="19" t="s">
        <v>22</v>
      </c>
      <c r="D269" s="15" t="s">
        <v>23</v>
      </c>
      <c r="E269" s="20" t="s">
        <v>630</v>
      </c>
      <c r="F269" s="19" t="s">
        <v>563</v>
      </c>
      <c r="G269" s="19" t="s">
        <v>564</v>
      </c>
      <c r="H269" s="14" t="s">
        <v>27</v>
      </c>
      <c r="I269" s="14" t="s">
        <v>28</v>
      </c>
      <c r="J269" s="16">
        <v>2</v>
      </c>
      <c r="K269" s="19" t="s">
        <v>582</v>
      </c>
      <c r="L269" s="19" t="s">
        <v>631</v>
      </c>
      <c r="M269" s="19"/>
      <c r="N269" s="14" t="s">
        <v>282</v>
      </c>
      <c r="O269" s="16" t="s">
        <v>31</v>
      </c>
      <c r="P269" s="297">
        <v>40</v>
      </c>
      <c r="Q269" s="18" t="str">
        <f t="shared" si="3"/>
        <v>BM BB02 _ A _ FIA avec détection par spectrométrie de masse en tandem (MSMS) _ Quantitatif _ Automatisée _ 2 _ FIA, Injecteur : Qsight HC Autosampler MD et MSMS : PerkinElmer Qsight 225MD</v>
      </c>
      <c r="R269" s="286"/>
    </row>
    <row r="270" spans="1:18" ht="76.5" x14ac:dyDescent="0.2">
      <c r="A270" s="14" t="s">
        <v>20</v>
      </c>
      <c r="B270" s="19" t="s">
        <v>536</v>
      </c>
      <c r="C270" s="19" t="s">
        <v>22</v>
      </c>
      <c r="D270" s="15" t="s">
        <v>23</v>
      </c>
      <c r="E270" s="20" t="s">
        <v>632</v>
      </c>
      <c r="F270" s="19" t="s">
        <v>563</v>
      </c>
      <c r="G270" s="19" t="s">
        <v>564</v>
      </c>
      <c r="H270" s="14" t="s">
        <v>27</v>
      </c>
      <c r="I270" s="14" t="s">
        <v>28</v>
      </c>
      <c r="J270" s="16">
        <v>2</v>
      </c>
      <c r="K270" s="19" t="s">
        <v>582</v>
      </c>
      <c r="L270" s="19" t="s">
        <v>633</v>
      </c>
      <c r="M270" s="19"/>
      <c r="N270" s="14" t="s">
        <v>282</v>
      </c>
      <c r="O270" s="16" t="s">
        <v>31</v>
      </c>
      <c r="P270" s="297">
        <v>571</v>
      </c>
      <c r="Q270" s="18" t="str">
        <f t="shared" si="3"/>
        <v>BM BB02 _ A _ FIA avec détection par spectrométrie de masse en tandem (MSMS) _ Quantitatif _ Automatisée _ 2 _ FIA, Injecteur : Qsight HC Autosampler MD et MSMS : PerkinElmer Qsight 225MD</v>
      </c>
      <c r="R270" s="286"/>
    </row>
    <row r="271" spans="1:18" ht="76.5" x14ac:dyDescent="0.2">
      <c r="A271" s="14" t="s">
        <v>20</v>
      </c>
      <c r="B271" s="19" t="s">
        <v>536</v>
      </c>
      <c r="C271" s="19" t="s">
        <v>22</v>
      </c>
      <c r="D271" s="15" t="s">
        <v>23</v>
      </c>
      <c r="E271" s="20" t="s">
        <v>634</v>
      </c>
      <c r="F271" s="19" t="s">
        <v>563</v>
      </c>
      <c r="G271" s="19" t="s">
        <v>564</v>
      </c>
      <c r="H271" s="14" t="s">
        <v>27</v>
      </c>
      <c r="I271" s="14" t="s">
        <v>28</v>
      </c>
      <c r="J271" s="16">
        <v>2</v>
      </c>
      <c r="K271" s="19" t="s">
        <v>582</v>
      </c>
      <c r="L271" s="19" t="s">
        <v>635</v>
      </c>
      <c r="M271" s="19"/>
      <c r="N271" s="14" t="s">
        <v>282</v>
      </c>
      <c r="O271" s="16" t="s">
        <v>31</v>
      </c>
      <c r="P271" s="297">
        <v>42</v>
      </c>
      <c r="Q271" s="18" t="str">
        <f t="shared" si="3"/>
        <v>BM BB02 _ A _ FIA avec détection par spectrométrie de masse en tandem (MSMS) _ Quantitatif _ Automatisée _ 2 _ FIA, Injecteur : Qsight HC Autosampler MD et MSMS : PerkinElmer Qsight 225MD</v>
      </c>
      <c r="R271" s="286"/>
    </row>
    <row r="272" spans="1:18" ht="76.5" x14ac:dyDescent="0.2">
      <c r="A272" s="14" t="s">
        <v>20</v>
      </c>
      <c r="B272" s="19" t="s">
        <v>536</v>
      </c>
      <c r="C272" s="19" t="s">
        <v>22</v>
      </c>
      <c r="D272" s="15" t="s">
        <v>23</v>
      </c>
      <c r="E272" s="14" t="s">
        <v>636</v>
      </c>
      <c r="F272" s="19" t="s">
        <v>25</v>
      </c>
      <c r="G272" s="19" t="s">
        <v>637</v>
      </c>
      <c r="H272" s="19" t="s">
        <v>27</v>
      </c>
      <c r="I272" s="19" t="s">
        <v>182</v>
      </c>
      <c r="J272" s="16">
        <v>1</v>
      </c>
      <c r="K272" s="19" t="s">
        <v>638</v>
      </c>
      <c r="L272" s="19" t="s">
        <v>639</v>
      </c>
      <c r="M272" s="17" t="s">
        <v>1516</v>
      </c>
      <c r="N272" s="14" t="s">
        <v>30</v>
      </c>
      <c r="O272" s="16" t="s">
        <v>31</v>
      </c>
      <c r="P272" s="297">
        <v>1118</v>
      </c>
      <c r="Q272" s="18" t="str">
        <f t="shared" ref="Q272:Q335" si="4">CONCATENATE(N272," _ ",O272," _ ",G272," _ ",H272," _ ",I272," _ ",J272," _ ",K272)</f>
        <v xml:space="preserve">BM BB01 _ A _ Méthode enzymatique  _ Quantitatif _ Semi-automatisée _ 1 _ Cobas C111 </v>
      </c>
      <c r="R272" s="286"/>
    </row>
    <row r="273" spans="1:18" ht="76.5" x14ac:dyDescent="0.2">
      <c r="A273" s="14" t="s">
        <v>20</v>
      </c>
      <c r="B273" s="19" t="s">
        <v>536</v>
      </c>
      <c r="C273" s="19" t="s">
        <v>22</v>
      </c>
      <c r="D273" s="19" t="s">
        <v>23</v>
      </c>
      <c r="E273" s="20" t="s">
        <v>640</v>
      </c>
      <c r="F273" s="19" t="s">
        <v>25</v>
      </c>
      <c r="G273" s="19" t="s">
        <v>637</v>
      </c>
      <c r="H273" s="19" t="s">
        <v>27</v>
      </c>
      <c r="I273" s="19" t="s">
        <v>182</v>
      </c>
      <c r="J273" s="16">
        <v>1</v>
      </c>
      <c r="K273" s="19" t="s">
        <v>638</v>
      </c>
      <c r="L273" s="19" t="s">
        <v>641</v>
      </c>
      <c r="M273" s="17" t="s">
        <v>1516</v>
      </c>
      <c r="N273" s="19" t="s">
        <v>30</v>
      </c>
      <c r="O273" s="36" t="s">
        <v>184</v>
      </c>
      <c r="P273" s="297">
        <v>1118</v>
      </c>
      <c r="Q273" s="18" t="str">
        <f t="shared" si="4"/>
        <v xml:space="preserve">BM BB01 _ B _ Méthode enzymatique  _ Quantitatif _ Semi-automatisée _ 1 _ Cobas C111 </v>
      </c>
      <c r="R273" s="286"/>
    </row>
    <row r="274" spans="1:18" ht="76.5" x14ac:dyDescent="0.2">
      <c r="A274" s="14" t="s">
        <v>20</v>
      </c>
      <c r="B274" s="56" t="s">
        <v>536</v>
      </c>
      <c r="C274" s="56" t="s">
        <v>22</v>
      </c>
      <c r="D274" s="64" t="s">
        <v>23</v>
      </c>
      <c r="E274" s="64" t="s">
        <v>642</v>
      </c>
      <c r="F274" s="56" t="s">
        <v>563</v>
      </c>
      <c r="G274" s="112" t="s">
        <v>564</v>
      </c>
      <c r="H274" s="14" t="s">
        <v>27</v>
      </c>
      <c r="I274" s="14" t="s">
        <v>28</v>
      </c>
      <c r="J274" s="16">
        <v>2</v>
      </c>
      <c r="K274" s="112" t="s">
        <v>582</v>
      </c>
      <c r="L274" s="381" t="s">
        <v>1823</v>
      </c>
      <c r="M274" s="19"/>
      <c r="N274" s="380" t="s">
        <v>282</v>
      </c>
      <c r="O274" s="59" t="s">
        <v>184</v>
      </c>
      <c r="P274" s="160">
        <v>143</v>
      </c>
      <c r="Q274" s="18" t="str">
        <f t="shared" si="4"/>
        <v>BM BB02 _ B _ FIA avec détection par spectrométrie de masse en tandem (MSMS) _ Quantitatif _ Automatisée _ 2 _ FIA, Injecteur : Qsight HC Autosampler MD et MSMS : PerkinElmer Qsight 225MD</v>
      </c>
      <c r="R274" s="286"/>
    </row>
    <row r="275" spans="1:18" ht="63.75" x14ac:dyDescent="0.2">
      <c r="A275" s="14" t="s">
        <v>20</v>
      </c>
      <c r="B275" s="56" t="s">
        <v>536</v>
      </c>
      <c r="C275" s="56" t="s">
        <v>22</v>
      </c>
      <c r="D275" s="64" t="s">
        <v>23</v>
      </c>
      <c r="E275" s="56" t="s">
        <v>645</v>
      </c>
      <c r="F275" s="56" t="s">
        <v>563</v>
      </c>
      <c r="G275" s="56" t="s">
        <v>643</v>
      </c>
      <c r="H275" s="56" t="s">
        <v>27</v>
      </c>
      <c r="I275" s="56" t="s">
        <v>182</v>
      </c>
      <c r="J275" s="16">
        <v>1</v>
      </c>
      <c r="K275" s="56" t="s">
        <v>644</v>
      </c>
      <c r="L275" s="57" t="s">
        <v>646</v>
      </c>
      <c r="M275" s="19"/>
      <c r="N275" s="58" t="s">
        <v>30</v>
      </c>
      <c r="O275" s="59" t="s">
        <v>184</v>
      </c>
      <c r="P275" s="298">
        <v>64</v>
      </c>
      <c r="Q275" s="18" t="str">
        <f t="shared" si="4"/>
        <v>BM BB01 _ B _ Méthode enzymatique avec detection par fluorimétrie _ Quantitatif _ Semi-automatisée _ 1 _ HITACHI F-7000</v>
      </c>
      <c r="R275" s="286"/>
    </row>
    <row r="276" spans="1:18" ht="63.75" x14ac:dyDescent="0.2">
      <c r="A276" s="14" t="s">
        <v>20</v>
      </c>
      <c r="B276" s="56" t="s">
        <v>536</v>
      </c>
      <c r="C276" s="56" t="s">
        <v>22</v>
      </c>
      <c r="D276" s="64" t="s">
        <v>23</v>
      </c>
      <c r="E276" s="397" t="s">
        <v>647</v>
      </c>
      <c r="F276" s="56" t="s">
        <v>563</v>
      </c>
      <c r="G276" s="56" t="s">
        <v>643</v>
      </c>
      <c r="H276" s="56" t="s">
        <v>27</v>
      </c>
      <c r="I276" s="56" t="s">
        <v>182</v>
      </c>
      <c r="J276" s="16">
        <v>1</v>
      </c>
      <c r="K276" s="56" t="s">
        <v>644</v>
      </c>
      <c r="L276" s="57" t="s">
        <v>648</v>
      </c>
      <c r="M276" s="58"/>
      <c r="N276" s="58" t="s">
        <v>30</v>
      </c>
      <c r="O276" s="59" t="s">
        <v>184</v>
      </c>
      <c r="P276" s="160">
        <v>119</v>
      </c>
      <c r="Q276" s="18" t="str">
        <f t="shared" si="4"/>
        <v>BM BB01 _ B _ Méthode enzymatique avec detection par fluorimétrie _ Quantitatif _ Semi-automatisée _ 1 _ HITACHI F-7000</v>
      </c>
      <c r="R276" s="286"/>
    </row>
    <row r="277" spans="1:18" ht="182.25" customHeight="1" x14ac:dyDescent="0.2">
      <c r="A277" s="14" t="s">
        <v>20</v>
      </c>
      <c r="B277" s="56" t="s">
        <v>536</v>
      </c>
      <c r="C277" s="56" t="s">
        <v>22</v>
      </c>
      <c r="D277" s="64" t="s">
        <v>23</v>
      </c>
      <c r="E277" s="56" t="s">
        <v>649</v>
      </c>
      <c r="F277" s="56" t="s">
        <v>563</v>
      </c>
      <c r="G277" s="56" t="s">
        <v>643</v>
      </c>
      <c r="H277" s="56" t="s">
        <v>27</v>
      </c>
      <c r="I277" s="56" t="s">
        <v>182</v>
      </c>
      <c r="J277" s="16">
        <v>1</v>
      </c>
      <c r="K277" s="56" t="s">
        <v>644</v>
      </c>
      <c r="L277" s="57" t="s">
        <v>650</v>
      </c>
      <c r="M277" s="58"/>
      <c r="N277" s="58" t="s">
        <v>30</v>
      </c>
      <c r="O277" s="59" t="s">
        <v>184</v>
      </c>
      <c r="P277" s="160">
        <v>5</v>
      </c>
      <c r="Q277" s="18" t="str">
        <f t="shared" si="4"/>
        <v>BM BB01 _ B _ Méthode enzymatique avec detection par fluorimétrie _ Quantitatif _ Semi-automatisée _ 1 _ HITACHI F-7000</v>
      </c>
      <c r="R277" s="286"/>
    </row>
    <row r="278" spans="1:18" ht="63.75" x14ac:dyDescent="0.2">
      <c r="A278" s="14" t="s">
        <v>20</v>
      </c>
      <c r="B278" s="56" t="s">
        <v>536</v>
      </c>
      <c r="C278" s="56" t="s">
        <v>22</v>
      </c>
      <c r="D278" s="64" t="s">
        <v>23</v>
      </c>
      <c r="E278" s="56" t="s">
        <v>651</v>
      </c>
      <c r="F278" s="56" t="s">
        <v>563</v>
      </c>
      <c r="G278" s="56" t="s">
        <v>643</v>
      </c>
      <c r="H278" s="56" t="s">
        <v>27</v>
      </c>
      <c r="I278" s="56" t="s">
        <v>182</v>
      </c>
      <c r="J278" s="16">
        <v>1</v>
      </c>
      <c r="K278" s="56" t="s">
        <v>644</v>
      </c>
      <c r="L278" s="57" t="s">
        <v>652</v>
      </c>
      <c r="M278" s="58"/>
      <c r="N278" s="58" t="s">
        <v>30</v>
      </c>
      <c r="O278" s="59" t="s">
        <v>184</v>
      </c>
      <c r="P278" s="160">
        <v>39</v>
      </c>
      <c r="Q278" s="18" t="str">
        <f t="shared" si="4"/>
        <v>BM BB01 _ B _ Méthode enzymatique avec detection par fluorimétrie _ Quantitatif _ Semi-automatisée _ 1 _ HITACHI F-7000</v>
      </c>
      <c r="R278" s="286"/>
    </row>
    <row r="279" spans="1:18" ht="63.75" x14ac:dyDescent="0.2">
      <c r="A279" s="14" t="s">
        <v>20</v>
      </c>
      <c r="B279" s="56" t="s">
        <v>536</v>
      </c>
      <c r="C279" s="56" t="s">
        <v>22</v>
      </c>
      <c r="D279" s="64" t="s">
        <v>23</v>
      </c>
      <c r="E279" s="56" t="s">
        <v>653</v>
      </c>
      <c r="F279" s="56" t="s">
        <v>563</v>
      </c>
      <c r="G279" s="56" t="s">
        <v>643</v>
      </c>
      <c r="H279" s="56" t="s">
        <v>27</v>
      </c>
      <c r="I279" s="56" t="s">
        <v>182</v>
      </c>
      <c r="J279" s="16">
        <v>1</v>
      </c>
      <c r="K279" s="56" t="s">
        <v>644</v>
      </c>
      <c r="L279" s="57" t="s">
        <v>654</v>
      </c>
      <c r="M279" s="58"/>
      <c r="N279" s="58" t="s">
        <v>30</v>
      </c>
      <c r="O279" s="59" t="s">
        <v>184</v>
      </c>
      <c r="P279" s="160">
        <v>6</v>
      </c>
      <c r="Q279" s="18" t="str">
        <f t="shared" si="4"/>
        <v>BM BB01 _ B _ Méthode enzymatique avec detection par fluorimétrie _ Quantitatif _ Semi-automatisée _ 1 _ HITACHI F-7000</v>
      </c>
      <c r="R279" s="286"/>
    </row>
    <row r="280" spans="1:18" ht="38.25" x14ac:dyDescent="0.2">
      <c r="A280" s="14" t="s">
        <v>20</v>
      </c>
      <c r="B280" s="56" t="s">
        <v>536</v>
      </c>
      <c r="C280" s="56" t="s">
        <v>22</v>
      </c>
      <c r="D280" s="57" t="s">
        <v>655</v>
      </c>
      <c r="E280" s="65" t="s">
        <v>656</v>
      </c>
      <c r="F280" s="56" t="s">
        <v>657</v>
      </c>
      <c r="G280" s="56" t="s">
        <v>658</v>
      </c>
      <c r="H280" s="56" t="s">
        <v>170</v>
      </c>
      <c r="I280" s="56" t="s">
        <v>182</v>
      </c>
      <c r="J280" s="16">
        <v>1</v>
      </c>
      <c r="K280" s="56" t="s">
        <v>659</v>
      </c>
      <c r="L280" s="57" t="s">
        <v>660</v>
      </c>
      <c r="M280" s="58"/>
      <c r="N280" s="58" t="s">
        <v>661</v>
      </c>
      <c r="O280" s="59" t="s">
        <v>184</v>
      </c>
      <c r="P280" s="160">
        <v>0</v>
      </c>
      <c r="Q280" s="18" t="str">
        <f t="shared" si="4"/>
        <v xml:space="preserve">BM GC04 _ B _ Séquançage Sanger _ Qualitatif _ Semi-automatisée _ 1 _ Séquenceur ABS3500 </v>
      </c>
      <c r="R280" s="251"/>
    </row>
    <row r="281" spans="1:18" ht="114.75" x14ac:dyDescent="0.2">
      <c r="A281" s="14" t="s">
        <v>20</v>
      </c>
      <c r="B281" s="56" t="s">
        <v>536</v>
      </c>
      <c r="C281" s="56" t="s">
        <v>22</v>
      </c>
      <c r="D281" s="57" t="s">
        <v>655</v>
      </c>
      <c r="E281" s="383" t="s">
        <v>1796</v>
      </c>
      <c r="F281" s="56" t="s">
        <v>662</v>
      </c>
      <c r="G281" s="382" t="s">
        <v>1797</v>
      </c>
      <c r="H281" s="56" t="s">
        <v>170</v>
      </c>
      <c r="I281" s="56" t="s">
        <v>28</v>
      </c>
      <c r="J281" s="46">
        <v>1</v>
      </c>
      <c r="K281" s="382" t="s">
        <v>1798</v>
      </c>
      <c r="L281" s="381" t="s">
        <v>1799</v>
      </c>
      <c r="M281" s="380" t="s">
        <v>1800</v>
      </c>
      <c r="N281" s="58" t="s">
        <v>663</v>
      </c>
      <c r="O281" s="59" t="s">
        <v>184</v>
      </c>
      <c r="P281" s="160">
        <v>359</v>
      </c>
      <c r="Q281" s="18" t="str">
        <f t="shared" si="4"/>
        <v>BM GC07 _ B _ Enrichissement par capture XT-HS-UMI (Agilent) et séquençage NGS par Novaseq (Illumina) _ Qualitatif _ Automatisée _ 1 _ Magnis et NovaSeq</v>
      </c>
      <c r="R281" s="251"/>
    </row>
    <row r="282" spans="1:18" ht="51" x14ac:dyDescent="0.2">
      <c r="A282" s="14" t="s">
        <v>20</v>
      </c>
      <c r="B282" s="23" t="s">
        <v>664</v>
      </c>
      <c r="C282" s="23" t="s">
        <v>22</v>
      </c>
      <c r="D282" s="23" t="s">
        <v>665</v>
      </c>
      <c r="E282" s="37" t="s">
        <v>666</v>
      </c>
      <c r="F282" s="23" t="s">
        <v>667</v>
      </c>
      <c r="G282" s="23" t="s">
        <v>668</v>
      </c>
      <c r="H282" s="23" t="s">
        <v>27</v>
      </c>
      <c r="I282" s="23" t="s">
        <v>171</v>
      </c>
      <c r="J282" s="36"/>
      <c r="K282" s="23"/>
      <c r="L282" s="23" t="s">
        <v>669</v>
      </c>
      <c r="M282" s="19"/>
      <c r="N282" s="23" t="s">
        <v>670</v>
      </c>
      <c r="O282" s="36" t="s">
        <v>31</v>
      </c>
      <c r="P282" s="27" t="s">
        <v>671</v>
      </c>
      <c r="Q282" s="18" t="str">
        <f t="shared" si="4"/>
        <v xml:space="preserve">BM SP01 _ A _ Pesée du sperme _ Quantitatif _ Manuelle _  _ </v>
      </c>
      <c r="R282" s="251"/>
    </row>
    <row r="283" spans="1:18" ht="89.25" x14ac:dyDescent="0.2">
      <c r="A283" s="14" t="s">
        <v>20</v>
      </c>
      <c r="B283" s="23" t="s">
        <v>664</v>
      </c>
      <c r="C283" s="23" t="s">
        <v>22</v>
      </c>
      <c r="D283" s="23" t="s">
        <v>665</v>
      </c>
      <c r="E283" s="37" t="s">
        <v>672</v>
      </c>
      <c r="F283" s="23" t="s">
        <v>667</v>
      </c>
      <c r="G283" s="23" t="s">
        <v>673</v>
      </c>
      <c r="H283" s="23" t="s">
        <v>27</v>
      </c>
      <c r="I283" s="23" t="s">
        <v>171</v>
      </c>
      <c r="J283" s="36"/>
      <c r="K283" s="23"/>
      <c r="L283" s="23" t="s">
        <v>674</v>
      </c>
      <c r="M283" s="19"/>
      <c r="N283" s="23" t="s">
        <v>670</v>
      </c>
      <c r="O283" s="36" t="s">
        <v>31</v>
      </c>
      <c r="P283" s="66">
        <v>1920</v>
      </c>
      <c r="Q283" s="18" t="str">
        <f t="shared" si="4"/>
        <v xml:space="preserve">BM SP01 _ A _ Comptage après dépôt sur une cellule de type hémocytomètre _ Quantitatif _ Manuelle _  _ </v>
      </c>
      <c r="R283" s="286"/>
    </row>
    <row r="284" spans="1:18" ht="63.75" x14ac:dyDescent="0.2">
      <c r="A284" s="14" t="s">
        <v>20</v>
      </c>
      <c r="B284" s="23" t="s">
        <v>664</v>
      </c>
      <c r="C284" s="23" t="s">
        <v>22</v>
      </c>
      <c r="D284" s="23" t="s">
        <v>665</v>
      </c>
      <c r="E284" s="37" t="s">
        <v>675</v>
      </c>
      <c r="F284" s="23" t="s">
        <v>667</v>
      </c>
      <c r="G284" s="23" t="s">
        <v>676</v>
      </c>
      <c r="H284" s="23" t="s">
        <v>170</v>
      </c>
      <c r="I284" s="23" t="s">
        <v>171</v>
      </c>
      <c r="J284" s="36"/>
      <c r="K284" s="23"/>
      <c r="L284" s="23" t="s">
        <v>677</v>
      </c>
      <c r="M284" s="19"/>
      <c r="N284" s="23" t="s">
        <v>670</v>
      </c>
      <c r="O284" s="36" t="s">
        <v>31</v>
      </c>
      <c r="P284" s="27" t="s">
        <v>671</v>
      </c>
      <c r="Q284" s="18" t="str">
        <f t="shared" si="4"/>
        <v xml:space="preserve">BM SP01 _ A _ Observation et évaluation qualitative au microscope _ Qualitatif _ Manuelle _  _ </v>
      </c>
      <c r="R284" s="286"/>
    </row>
    <row r="285" spans="1:18" ht="51" x14ac:dyDescent="0.2">
      <c r="A285" s="14" t="s">
        <v>20</v>
      </c>
      <c r="B285" s="23" t="s">
        <v>664</v>
      </c>
      <c r="C285" s="23" t="s">
        <v>22</v>
      </c>
      <c r="D285" s="23" t="s">
        <v>665</v>
      </c>
      <c r="E285" s="37" t="s">
        <v>678</v>
      </c>
      <c r="F285" s="23" t="s">
        <v>667</v>
      </c>
      <c r="G285" s="23" t="s">
        <v>679</v>
      </c>
      <c r="H285" s="23" t="s">
        <v>170</v>
      </c>
      <c r="I285" s="23" t="s">
        <v>171</v>
      </c>
      <c r="J285" s="36"/>
      <c r="K285" s="23"/>
      <c r="L285" s="23" t="s">
        <v>680</v>
      </c>
      <c r="M285" s="19"/>
      <c r="N285" s="23" t="s">
        <v>670</v>
      </c>
      <c r="O285" s="36" t="s">
        <v>31</v>
      </c>
      <c r="P285" s="27" t="s">
        <v>671</v>
      </c>
      <c r="Q285" s="18" t="str">
        <f t="shared" si="4"/>
        <v xml:space="preserve">BM SP01 _ A _ Evaluation qualitative à partir du papier pH _ Qualitatif _ Manuelle _  _ </v>
      </c>
      <c r="R285" s="286"/>
    </row>
    <row r="286" spans="1:18" ht="76.5" x14ac:dyDescent="0.2">
      <c r="A286" s="14" t="s">
        <v>20</v>
      </c>
      <c r="B286" s="23" t="s">
        <v>664</v>
      </c>
      <c r="C286" s="23" t="s">
        <v>22</v>
      </c>
      <c r="D286" s="23" t="s">
        <v>665</v>
      </c>
      <c r="E286" s="37" t="s">
        <v>681</v>
      </c>
      <c r="F286" s="23" t="s">
        <v>667</v>
      </c>
      <c r="G286" s="23" t="s">
        <v>682</v>
      </c>
      <c r="H286" s="23" t="s">
        <v>170</v>
      </c>
      <c r="I286" s="23" t="s">
        <v>171</v>
      </c>
      <c r="J286" s="36"/>
      <c r="K286" s="23"/>
      <c r="L286" s="23" t="s">
        <v>683</v>
      </c>
      <c r="M286" s="19"/>
      <c r="N286" s="23" t="s">
        <v>670</v>
      </c>
      <c r="O286" s="36" t="s">
        <v>31</v>
      </c>
      <c r="P286" s="27" t="s">
        <v>671</v>
      </c>
      <c r="Q286" s="18" t="str">
        <f t="shared" si="4"/>
        <v xml:space="preserve">BM SP01 _ A _ Observation de l’écoulement du sperme au bout d’une pipette _ Qualitatif _ Manuelle _  _ </v>
      </c>
      <c r="R286" s="286"/>
    </row>
    <row r="287" spans="1:18" ht="138.75" customHeight="1" x14ac:dyDescent="0.2">
      <c r="A287" s="14" t="s">
        <v>20</v>
      </c>
      <c r="B287" s="23" t="s">
        <v>664</v>
      </c>
      <c r="C287" s="23" t="s">
        <v>22</v>
      </c>
      <c r="D287" s="23" t="s">
        <v>665</v>
      </c>
      <c r="E287" s="37" t="s">
        <v>684</v>
      </c>
      <c r="F287" s="23" t="s">
        <v>667</v>
      </c>
      <c r="G287" s="23" t="s">
        <v>685</v>
      </c>
      <c r="H287" s="23" t="s">
        <v>170</v>
      </c>
      <c r="I287" s="23" t="s">
        <v>171</v>
      </c>
      <c r="J287" s="36"/>
      <c r="K287" s="23"/>
      <c r="L287" s="23" t="s">
        <v>686</v>
      </c>
      <c r="M287" s="19"/>
      <c r="N287" s="23" t="s">
        <v>670</v>
      </c>
      <c r="O287" s="36" t="s">
        <v>31</v>
      </c>
      <c r="P287" s="27" t="s">
        <v>671</v>
      </c>
      <c r="Q287" s="18" t="str">
        <f t="shared" si="4"/>
        <v xml:space="preserve">BM SP01 _ A _ Evaluation qualitative au microscope _ Qualitatif _ Manuelle _  _ </v>
      </c>
      <c r="R287" s="286"/>
    </row>
    <row r="288" spans="1:18" s="48" customFormat="1" ht="102" x14ac:dyDescent="0.2">
      <c r="A288" s="14" t="s">
        <v>20</v>
      </c>
      <c r="B288" s="23" t="s">
        <v>664</v>
      </c>
      <c r="C288" s="23" t="s">
        <v>22</v>
      </c>
      <c r="D288" s="23" t="s">
        <v>665</v>
      </c>
      <c r="E288" s="23" t="s">
        <v>687</v>
      </c>
      <c r="F288" s="23" t="s">
        <v>667</v>
      </c>
      <c r="G288" s="23" t="s">
        <v>688</v>
      </c>
      <c r="H288" s="23" t="s">
        <v>170</v>
      </c>
      <c r="I288" s="23" t="s">
        <v>171</v>
      </c>
      <c r="J288" s="36"/>
      <c r="K288" s="23"/>
      <c r="L288" s="23" t="s">
        <v>689</v>
      </c>
      <c r="M288" s="19"/>
      <c r="N288" s="23" t="s">
        <v>670</v>
      </c>
      <c r="O288" s="36" t="s">
        <v>31</v>
      </c>
      <c r="P288" s="27" t="s">
        <v>671</v>
      </c>
      <c r="Q288" s="18" t="str">
        <f t="shared" si="4"/>
        <v xml:space="preserve">BM SP01 _ A _ Evaluation qualitative au microscope en présence d’un colorant vital _ Qualitatif _ Manuelle _  _ </v>
      </c>
      <c r="R288" s="286"/>
    </row>
    <row r="289" spans="1:18" s="48" customFormat="1" ht="165.75" x14ac:dyDescent="0.2">
      <c r="A289" s="14" t="s">
        <v>20</v>
      </c>
      <c r="B289" s="23" t="s">
        <v>664</v>
      </c>
      <c r="C289" s="23" t="s">
        <v>22</v>
      </c>
      <c r="D289" s="23" t="s">
        <v>665</v>
      </c>
      <c r="E289" s="23" t="s">
        <v>690</v>
      </c>
      <c r="F289" s="23" t="s">
        <v>667</v>
      </c>
      <c r="G289" s="23" t="s">
        <v>691</v>
      </c>
      <c r="H289" s="23" t="s">
        <v>692</v>
      </c>
      <c r="I289" s="23" t="s">
        <v>171</v>
      </c>
      <c r="J289" s="36"/>
      <c r="K289" s="23"/>
      <c r="L289" s="23" t="s">
        <v>693</v>
      </c>
      <c r="M289" s="19"/>
      <c r="N289" s="23" t="s">
        <v>670</v>
      </c>
      <c r="O289" s="36" t="s">
        <v>31</v>
      </c>
      <c r="P289" s="27">
        <v>1433</v>
      </c>
      <c r="Q289" s="18" t="str">
        <f t="shared" si="4"/>
        <v xml:space="preserve">BM SP01 _ A _ Comptage après dépôt sur une cellule de type hémocytomètre /
Observation et évaluation qualitative au microscope
 _ Quantitatif et Qualitatif _ Manuelle _  _ </v>
      </c>
      <c r="R289" s="286"/>
    </row>
    <row r="290" spans="1:18" s="48" customFormat="1" ht="76.5" x14ac:dyDescent="0.2">
      <c r="A290" s="14" t="s">
        <v>20</v>
      </c>
      <c r="B290" s="23" t="s">
        <v>664</v>
      </c>
      <c r="C290" s="23" t="s">
        <v>22</v>
      </c>
      <c r="D290" s="23" t="s">
        <v>665</v>
      </c>
      <c r="E290" s="37" t="s">
        <v>694</v>
      </c>
      <c r="F290" s="23" t="s">
        <v>667</v>
      </c>
      <c r="G290" s="23" t="s">
        <v>695</v>
      </c>
      <c r="H290" s="23" t="s">
        <v>27</v>
      </c>
      <c r="I290" s="23" t="s">
        <v>171</v>
      </c>
      <c r="J290" s="36"/>
      <c r="K290" s="23"/>
      <c r="L290" s="23" t="s">
        <v>696</v>
      </c>
      <c r="M290" s="19"/>
      <c r="N290" s="23" t="s">
        <v>697</v>
      </c>
      <c r="O290" s="36" t="s">
        <v>31</v>
      </c>
      <c r="P290" s="27" t="s">
        <v>671</v>
      </c>
      <c r="Q290" s="18" t="str">
        <f t="shared" si="4"/>
        <v xml:space="preserve">BM SP03 _ A _ Comptage après confection du frottis de spermatozoïdes colorés _ Quantitatif _ Manuelle _  _ </v>
      </c>
      <c r="R290" s="286"/>
    </row>
    <row r="291" spans="1:18" ht="140.25" x14ac:dyDescent="0.2">
      <c r="A291" s="14" t="s">
        <v>20</v>
      </c>
      <c r="B291" s="23" t="s">
        <v>664</v>
      </c>
      <c r="C291" s="23" t="s">
        <v>22</v>
      </c>
      <c r="D291" s="23" t="s">
        <v>665</v>
      </c>
      <c r="E291" s="37" t="s">
        <v>698</v>
      </c>
      <c r="F291" s="23" t="s">
        <v>667</v>
      </c>
      <c r="G291" s="23" t="s">
        <v>699</v>
      </c>
      <c r="H291" s="23" t="s">
        <v>27</v>
      </c>
      <c r="I291" s="23" t="s">
        <v>171</v>
      </c>
      <c r="J291" s="36"/>
      <c r="K291" s="23"/>
      <c r="L291" s="23" t="s">
        <v>700</v>
      </c>
      <c r="M291" s="19"/>
      <c r="N291" s="23" t="s">
        <v>697</v>
      </c>
      <c r="O291" s="36" t="s">
        <v>31</v>
      </c>
      <c r="P291" s="27" t="s">
        <v>671</v>
      </c>
      <c r="Q291" s="18" t="str">
        <f t="shared" si="4"/>
        <v xml:space="preserve">BM SP03 _ A _ Observation et description des anomalies morphologiques du spermatozoïdes sur frottis après coloration _ Quantitatif _ Manuelle _  _ </v>
      </c>
      <c r="R291" s="286"/>
    </row>
    <row r="292" spans="1:18" ht="89.25" x14ac:dyDescent="0.2">
      <c r="A292" s="14" t="s">
        <v>20</v>
      </c>
      <c r="B292" s="23" t="s">
        <v>664</v>
      </c>
      <c r="C292" s="23" t="s">
        <v>22</v>
      </c>
      <c r="D292" s="23" t="s">
        <v>665</v>
      </c>
      <c r="E292" s="23" t="s">
        <v>701</v>
      </c>
      <c r="F292" s="23" t="s">
        <v>667</v>
      </c>
      <c r="G292" s="23" t="s">
        <v>702</v>
      </c>
      <c r="H292" s="23" t="s">
        <v>27</v>
      </c>
      <c r="I292" s="23" t="s">
        <v>171</v>
      </c>
      <c r="J292" s="36"/>
      <c r="K292" s="23"/>
      <c r="L292" s="23" t="s">
        <v>703</v>
      </c>
      <c r="M292" s="19"/>
      <c r="N292" s="23" t="s">
        <v>697</v>
      </c>
      <c r="O292" s="36" t="s">
        <v>31</v>
      </c>
      <c r="P292" s="27">
        <v>33</v>
      </c>
      <c r="Q292" s="18" t="str">
        <f t="shared" si="4"/>
        <v xml:space="preserve">BM SP03 _ A _ Observation et mesure des vacuoles sur la tête des spermatozoïdes mobiles _ Quantitatif _ Manuelle _  _ </v>
      </c>
      <c r="R292" s="286"/>
    </row>
    <row r="293" spans="1:18" ht="76.5" x14ac:dyDescent="0.2">
      <c r="A293" s="14" t="s">
        <v>20</v>
      </c>
      <c r="B293" s="23" t="s">
        <v>664</v>
      </c>
      <c r="C293" s="23" t="s">
        <v>22</v>
      </c>
      <c r="D293" s="23" t="s">
        <v>665</v>
      </c>
      <c r="E293" s="37" t="s">
        <v>704</v>
      </c>
      <c r="F293" s="23" t="s">
        <v>667</v>
      </c>
      <c r="G293" s="23" t="s">
        <v>695</v>
      </c>
      <c r="H293" s="23" t="s">
        <v>27</v>
      </c>
      <c r="I293" s="23" t="s">
        <v>171</v>
      </c>
      <c r="J293" s="36"/>
      <c r="K293" s="23"/>
      <c r="L293" s="23" t="s">
        <v>705</v>
      </c>
      <c r="M293" s="19"/>
      <c r="N293" s="23" t="s">
        <v>706</v>
      </c>
      <c r="O293" s="36" t="s">
        <v>31</v>
      </c>
      <c r="P293" s="67">
        <v>499</v>
      </c>
      <c r="Q293" s="18" t="str">
        <f t="shared" si="4"/>
        <v xml:space="preserve">BM SP05 _ A _ Comptage après confection du frottis de spermatozoïdes colorés _ Quantitatif _ Manuelle _  _ </v>
      </c>
      <c r="R293" s="286"/>
    </row>
    <row r="294" spans="1:18" ht="51" x14ac:dyDescent="0.2">
      <c r="A294" s="14" t="s">
        <v>20</v>
      </c>
      <c r="B294" s="23" t="s">
        <v>664</v>
      </c>
      <c r="C294" s="23" t="s">
        <v>22</v>
      </c>
      <c r="D294" s="23" t="s">
        <v>665</v>
      </c>
      <c r="E294" s="37" t="s">
        <v>707</v>
      </c>
      <c r="F294" s="23" t="s">
        <v>667</v>
      </c>
      <c r="G294" s="23" t="s">
        <v>708</v>
      </c>
      <c r="H294" s="23" t="s">
        <v>170</v>
      </c>
      <c r="I294" s="23" t="s">
        <v>171</v>
      </c>
      <c r="J294" s="36"/>
      <c r="K294" s="23"/>
      <c r="L294" s="23" t="s">
        <v>709</v>
      </c>
      <c r="M294" s="19"/>
      <c r="N294" s="23" t="s">
        <v>710</v>
      </c>
      <c r="O294" s="36" t="s">
        <v>31</v>
      </c>
      <c r="P294" s="66">
        <v>870</v>
      </c>
      <c r="Q294" s="18" t="str">
        <f t="shared" si="4"/>
        <v xml:space="preserve">BM SP07 _ A _ pesée du sperme _ Qualitatif _ Manuelle _  _ </v>
      </c>
      <c r="R294" s="286"/>
    </row>
    <row r="295" spans="1:18" ht="63.75" x14ac:dyDescent="0.2">
      <c r="A295" s="14" t="s">
        <v>20</v>
      </c>
      <c r="B295" s="25" t="s">
        <v>711</v>
      </c>
      <c r="C295" s="14" t="s">
        <v>22</v>
      </c>
      <c r="D295" s="24" t="s">
        <v>655</v>
      </c>
      <c r="E295" s="20" t="s">
        <v>712</v>
      </c>
      <c r="F295" s="25" t="s">
        <v>25</v>
      </c>
      <c r="G295" s="25" t="s">
        <v>713</v>
      </c>
      <c r="H295" s="14" t="s">
        <v>170</v>
      </c>
      <c r="I295" s="14" t="s">
        <v>171</v>
      </c>
      <c r="J295" s="16"/>
      <c r="K295" s="25"/>
      <c r="L295" s="25" t="s">
        <v>714</v>
      </c>
      <c r="M295" s="29"/>
      <c r="N295" s="42" t="s">
        <v>715</v>
      </c>
      <c r="O295" s="16" t="s">
        <v>184</v>
      </c>
      <c r="P295" s="27">
        <v>734</v>
      </c>
      <c r="Q295" s="18" t="str">
        <f t="shared" si="4"/>
        <v xml:space="preserve">BM GC01 _ B _ Culture, colorimétrie et microscopie ("banding") _ Qualitatif _ Manuelle _  _ </v>
      </c>
      <c r="R295" s="286"/>
    </row>
    <row r="296" spans="1:18" ht="191.25" x14ac:dyDescent="0.2">
      <c r="A296" s="14" t="s">
        <v>20</v>
      </c>
      <c r="B296" s="45" t="s">
        <v>711</v>
      </c>
      <c r="C296" s="45" t="s">
        <v>22</v>
      </c>
      <c r="D296" s="57" t="s">
        <v>655</v>
      </c>
      <c r="E296" s="45" t="s">
        <v>716</v>
      </c>
      <c r="F296" s="45" t="s">
        <v>25</v>
      </c>
      <c r="G296" s="68" t="s">
        <v>717</v>
      </c>
      <c r="H296" s="45" t="s">
        <v>718</v>
      </c>
      <c r="I296" s="45" t="s">
        <v>171</v>
      </c>
      <c r="J296" s="45"/>
      <c r="K296" s="69"/>
      <c r="L296" s="70" t="s">
        <v>719</v>
      </c>
      <c r="M296" s="43"/>
      <c r="N296" s="45" t="s">
        <v>720</v>
      </c>
      <c r="O296" s="46" t="s">
        <v>184</v>
      </c>
      <c r="P296" s="27">
        <v>494</v>
      </c>
      <c r="Q296" s="18" t="str">
        <f t="shared" si="4"/>
        <v xml:space="preserve">BM GC02 _ B _ Hybridation moléculaire fluorescente in situ ("FISH rapide") interphasique et/ou métaphasique mono- ou multi-sonde, et microscopie, sur préparation nucléaire  _ Qualitatif
/quantitatif _ Manuelle _  _ </v>
      </c>
      <c r="R296" s="286"/>
    </row>
    <row r="297" spans="1:18" ht="191.25" x14ac:dyDescent="0.2">
      <c r="A297" s="14" t="s">
        <v>20</v>
      </c>
      <c r="B297" s="45" t="s">
        <v>711</v>
      </c>
      <c r="C297" s="45" t="s">
        <v>22</v>
      </c>
      <c r="D297" s="57" t="s">
        <v>655</v>
      </c>
      <c r="E297" s="47" t="s">
        <v>721</v>
      </c>
      <c r="F297" s="45" t="s">
        <v>722</v>
      </c>
      <c r="G297" s="68" t="s">
        <v>717</v>
      </c>
      <c r="H297" s="45" t="s">
        <v>718</v>
      </c>
      <c r="I297" s="57" t="s">
        <v>171</v>
      </c>
      <c r="J297" s="57"/>
      <c r="K297" s="69"/>
      <c r="L297" s="70" t="s">
        <v>719</v>
      </c>
      <c r="M297" s="43"/>
      <c r="N297" s="45" t="s">
        <v>720</v>
      </c>
      <c r="O297" s="46" t="s">
        <v>184</v>
      </c>
      <c r="P297" s="27">
        <v>376</v>
      </c>
      <c r="Q297" s="18" t="str">
        <f t="shared" si="4"/>
        <v xml:space="preserve">BM GC02 _ B _ Hybridation moléculaire fluorescente in situ ("FISH rapide") interphasique et/ou métaphasique mono- ou multi-sonde, et microscopie, sur préparation nucléaire  _ Qualitatif
/quantitatif _ Manuelle _  _ </v>
      </c>
      <c r="R297" s="286"/>
    </row>
    <row r="298" spans="1:18" ht="191.25" x14ac:dyDescent="0.2">
      <c r="A298" s="14" t="s">
        <v>20</v>
      </c>
      <c r="B298" s="45" t="s">
        <v>711</v>
      </c>
      <c r="C298" s="45" t="s">
        <v>22</v>
      </c>
      <c r="D298" s="57" t="s">
        <v>655</v>
      </c>
      <c r="E298" s="45" t="s">
        <v>723</v>
      </c>
      <c r="F298" s="45" t="s">
        <v>724</v>
      </c>
      <c r="G298" s="68" t="s">
        <v>717</v>
      </c>
      <c r="H298" s="45" t="s">
        <v>718</v>
      </c>
      <c r="I298" s="45" t="s">
        <v>171</v>
      </c>
      <c r="J298" s="45"/>
      <c r="K298" s="69"/>
      <c r="L298" s="70" t="s">
        <v>719</v>
      </c>
      <c r="M298" s="43"/>
      <c r="N298" s="45" t="s">
        <v>720</v>
      </c>
      <c r="O298" s="46" t="s">
        <v>184</v>
      </c>
      <c r="P298" s="27">
        <v>109</v>
      </c>
      <c r="Q298" s="18" t="str">
        <f t="shared" si="4"/>
        <v xml:space="preserve">BM GC02 _ B _ Hybridation moléculaire fluorescente in situ ("FISH rapide") interphasique et/ou métaphasique mono- ou multi-sonde, et microscopie, sur préparation nucléaire  _ Qualitatif
/quantitatif _ Manuelle _  _ </v>
      </c>
      <c r="R298" s="286"/>
    </row>
    <row r="299" spans="1:18" ht="143.25" customHeight="1" x14ac:dyDescent="0.2">
      <c r="A299" s="14" t="s">
        <v>20</v>
      </c>
      <c r="B299" s="45" t="s">
        <v>711</v>
      </c>
      <c r="C299" s="45" t="s">
        <v>22</v>
      </c>
      <c r="D299" s="57" t="s">
        <v>655</v>
      </c>
      <c r="E299" s="45" t="s">
        <v>725</v>
      </c>
      <c r="F299" s="45" t="s">
        <v>726</v>
      </c>
      <c r="G299" s="68" t="s">
        <v>717</v>
      </c>
      <c r="H299" s="45" t="s">
        <v>718</v>
      </c>
      <c r="I299" s="45" t="s">
        <v>171</v>
      </c>
      <c r="J299" s="45"/>
      <c r="K299" s="69"/>
      <c r="L299" s="70" t="s">
        <v>719</v>
      </c>
      <c r="M299" s="43"/>
      <c r="N299" s="45" t="s">
        <v>720</v>
      </c>
      <c r="O299" s="46" t="s">
        <v>184</v>
      </c>
      <c r="P299" s="27">
        <v>13</v>
      </c>
      <c r="Q299" s="18" t="str">
        <f t="shared" si="4"/>
        <v xml:space="preserve">BM GC02 _ B _ Hybridation moléculaire fluorescente in situ ("FISH rapide") interphasique et/ou métaphasique mono- ou multi-sonde, et microscopie, sur préparation nucléaire  _ Qualitatif
/quantitatif _ Manuelle _  _ </v>
      </c>
      <c r="R299" s="286"/>
    </row>
    <row r="300" spans="1:18" ht="114.75" x14ac:dyDescent="0.2">
      <c r="A300" s="14" t="s">
        <v>20</v>
      </c>
      <c r="B300" s="24" t="s">
        <v>711</v>
      </c>
      <c r="C300" s="24" t="s">
        <v>22</v>
      </c>
      <c r="D300" s="24" t="s">
        <v>655</v>
      </c>
      <c r="E300" s="38" t="s">
        <v>727</v>
      </c>
      <c r="F300" s="24" t="s">
        <v>25</v>
      </c>
      <c r="G300" s="24" t="s">
        <v>728</v>
      </c>
      <c r="H300" s="24" t="s">
        <v>170</v>
      </c>
      <c r="I300" s="24" t="s">
        <v>171</v>
      </c>
      <c r="J300" s="16"/>
      <c r="K300" s="24"/>
      <c r="L300" s="24" t="s">
        <v>729</v>
      </c>
      <c r="M300" s="24"/>
      <c r="N300" s="24" t="s">
        <v>730</v>
      </c>
      <c r="O300" s="24" t="s">
        <v>184</v>
      </c>
      <c r="P300" s="27">
        <v>550</v>
      </c>
      <c r="Q300" s="18" t="str">
        <f t="shared" si="4"/>
        <v xml:space="preserve">BM GC03 _ B _ Extraction, purification d'acides nucléiques - - Hybridation moléculaire ("puce à ADN", CGH array) _ Qualitatif _ Manuelle _  _ </v>
      </c>
      <c r="R300" s="286"/>
    </row>
    <row r="301" spans="1:18" ht="153" x14ac:dyDescent="0.2">
      <c r="A301" s="14" t="s">
        <v>20</v>
      </c>
      <c r="B301" s="24" t="s">
        <v>711</v>
      </c>
      <c r="C301" s="24" t="s">
        <v>22</v>
      </c>
      <c r="D301" s="24" t="s">
        <v>655</v>
      </c>
      <c r="E301" s="24" t="s">
        <v>731</v>
      </c>
      <c r="F301" s="24" t="s">
        <v>722</v>
      </c>
      <c r="G301" s="24" t="s">
        <v>732</v>
      </c>
      <c r="H301" s="24" t="s">
        <v>170</v>
      </c>
      <c r="I301" s="24" t="s">
        <v>171</v>
      </c>
      <c r="J301" s="16"/>
      <c r="K301" s="24"/>
      <c r="L301" s="24" t="s">
        <v>729</v>
      </c>
      <c r="M301" s="24"/>
      <c r="N301" s="24" t="s">
        <v>730</v>
      </c>
      <c r="O301" s="24" t="s">
        <v>184</v>
      </c>
      <c r="P301" s="27">
        <v>244</v>
      </c>
      <c r="Q301" s="18" t="str">
        <f t="shared" si="4"/>
        <v xml:space="preserve">BM GC03 _ B _ Culture cellulaire éventuelle, extraction, purification d'acides nucléiques - - Hybridation moléculaire ("puce à ADN", CGH array) _ Qualitatif _ Manuelle _  _ </v>
      </c>
      <c r="R301" s="286"/>
    </row>
    <row r="302" spans="1:18" ht="153" x14ac:dyDescent="0.2">
      <c r="A302" s="14" t="s">
        <v>20</v>
      </c>
      <c r="B302" s="24" t="s">
        <v>711</v>
      </c>
      <c r="C302" s="24" t="s">
        <v>22</v>
      </c>
      <c r="D302" s="24" t="s">
        <v>655</v>
      </c>
      <c r="E302" s="24" t="s">
        <v>733</v>
      </c>
      <c r="F302" s="24" t="s">
        <v>734</v>
      </c>
      <c r="G302" s="24" t="s">
        <v>732</v>
      </c>
      <c r="H302" s="24" t="s">
        <v>170</v>
      </c>
      <c r="I302" s="24" t="s">
        <v>171</v>
      </c>
      <c r="J302" s="16"/>
      <c r="K302" s="24"/>
      <c r="L302" s="24" t="s">
        <v>729</v>
      </c>
      <c r="M302" s="24"/>
      <c r="N302" s="24" t="s">
        <v>730</v>
      </c>
      <c r="O302" s="24" t="s">
        <v>184</v>
      </c>
      <c r="P302" s="27">
        <v>15</v>
      </c>
      <c r="Q302" s="18" t="str">
        <f t="shared" si="4"/>
        <v xml:space="preserve">BM GC03 _ B _ Culture cellulaire éventuelle, extraction, purification d'acides nucléiques - - Hybridation moléculaire ("puce à ADN", CGH array) _ Qualitatif _ Manuelle _  _ </v>
      </c>
      <c r="R302" s="286"/>
    </row>
    <row r="303" spans="1:18" ht="153" customHeight="1" x14ac:dyDescent="0.2">
      <c r="A303" s="14" t="s">
        <v>20</v>
      </c>
      <c r="B303" s="24" t="s">
        <v>711</v>
      </c>
      <c r="C303" s="24" t="s">
        <v>22</v>
      </c>
      <c r="D303" s="24" t="s">
        <v>655</v>
      </c>
      <c r="E303" s="24" t="s">
        <v>735</v>
      </c>
      <c r="F303" s="24" t="s">
        <v>724</v>
      </c>
      <c r="G303" s="24" t="s">
        <v>732</v>
      </c>
      <c r="H303" s="24" t="s">
        <v>170</v>
      </c>
      <c r="I303" s="24" t="s">
        <v>171</v>
      </c>
      <c r="J303" s="16"/>
      <c r="K303" s="24"/>
      <c r="L303" s="24" t="s">
        <v>729</v>
      </c>
      <c r="M303" s="24"/>
      <c r="N303" s="24" t="s">
        <v>730</v>
      </c>
      <c r="O303" s="24" t="s">
        <v>184</v>
      </c>
      <c r="P303" s="27">
        <v>49</v>
      </c>
      <c r="Q303" s="18" t="str">
        <f t="shared" si="4"/>
        <v xml:space="preserve">BM GC03 _ B _ Culture cellulaire éventuelle, extraction, purification d'acides nucléiques - - Hybridation moléculaire ("puce à ADN", CGH array) _ Qualitatif _ Manuelle _  _ </v>
      </c>
      <c r="R303" s="286"/>
    </row>
    <row r="304" spans="1:18" ht="153" customHeight="1" x14ac:dyDescent="0.2">
      <c r="A304" s="14" t="s">
        <v>20</v>
      </c>
      <c r="B304" s="45" t="s">
        <v>711</v>
      </c>
      <c r="C304" s="45" t="s">
        <v>22</v>
      </c>
      <c r="D304" s="57" t="s">
        <v>655</v>
      </c>
      <c r="E304" s="47" t="s">
        <v>736</v>
      </c>
      <c r="F304" s="45" t="s">
        <v>25</v>
      </c>
      <c r="G304" s="71" t="s">
        <v>737</v>
      </c>
      <c r="H304" s="45" t="s">
        <v>170</v>
      </c>
      <c r="I304" s="45" t="s">
        <v>171</v>
      </c>
      <c r="J304" s="45"/>
      <c r="K304" s="69"/>
      <c r="L304" s="70" t="s">
        <v>738</v>
      </c>
      <c r="M304" s="46"/>
      <c r="N304" s="45" t="s">
        <v>663</v>
      </c>
      <c r="O304" s="46" t="s">
        <v>31</v>
      </c>
      <c r="P304" s="27">
        <v>692</v>
      </c>
      <c r="Q304" s="18" t="str">
        <f t="shared" si="4"/>
        <v xml:space="preserve">BM GC07 _ A _ Culture cellulaire éventuelle, extraction, purification d'acides nucléiques, avec ou sans amplification (PCR, …) 
Séquençage à Haut débit 
et Traitement bioinformatique  _ Qualitatif _ Manuelle _  _ </v>
      </c>
      <c r="R304" s="286"/>
    </row>
    <row r="305" spans="1:18" ht="76.5" x14ac:dyDescent="0.2">
      <c r="A305" s="22" t="s">
        <v>20</v>
      </c>
      <c r="B305" s="72" t="s">
        <v>739</v>
      </c>
      <c r="C305" s="72" t="s">
        <v>69</v>
      </c>
      <c r="D305" s="72" t="s">
        <v>655</v>
      </c>
      <c r="E305" s="73" t="s">
        <v>743</v>
      </c>
      <c r="F305" s="72" t="s">
        <v>657</v>
      </c>
      <c r="G305" s="234" t="s">
        <v>744</v>
      </c>
      <c r="H305" s="234" t="s">
        <v>27</v>
      </c>
      <c r="I305" s="234" t="s">
        <v>182</v>
      </c>
      <c r="J305" s="235">
        <v>1</v>
      </c>
      <c r="K305" s="234" t="s">
        <v>745</v>
      </c>
      <c r="L305" s="22" t="s">
        <v>746</v>
      </c>
      <c r="M305" s="84"/>
      <c r="N305" s="72" t="s">
        <v>730</v>
      </c>
      <c r="O305" s="74" t="s">
        <v>184</v>
      </c>
      <c r="P305" s="27">
        <v>897</v>
      </c>
      <c r="Q305" s="18" t="str">
        <f t="shared" si="4"/>
        <v>BM GC03 _ B _ Recherche de réarrangements génomiques (PCR digitale) _ Quantitatif _ Semi-automatisée _ 1 _ QX200 (Bio-Rad, Hercules, CA, USA)</v>
      </c>
      <c r="R305" s="286"/>
    </row>
    <row r="306" spans="1:18" ht="108" customHeight="1" x14ac:dyDescent="0.2">
      <c r="A306" s="14" t="s">
        <v>20</v>
      </c>
      <c r="B306" s="75" t="s">
        <v>739</v>
      </c>
      <c r="C306" s="75" t="s">
        <v>69</v>
      </c>
      <c r="D306" s="75" t="s">
        <v>655</v>
      </c>
      <c r="E306" s="236" t="s">
        <v>748</v>
      </c>
      <c r="F306" s="75" t="s">
        <v>657</v>
      </c>
      <c r="G306" s="75" t="s">
        <v>740</v>
      </c>
      <c r="H306" s="75" t="s">
        <v>741</v>
      </c>
      <c r="I306" s="75" t="s">
        <v>182</v>
      </c>
      <c r="J306" s="76">
        <v>1</v>
      </c>
      <c r="K306" s="75" t="s">
        <v>749</v>
      </c>
      <c r="L306" s="77" t="s">
        <v>750</v>
      </c>
      <c r="M306" s="78"/>
      <c r="N306" s="75" t="s">
        <v>730</v>
      </c>
      <c r="O306" s="76" t="s">
        <v>184</v>
      </c>
      <c r="P306" s="79"/>
      <c r="Q306" s="18" t="str">
        <f t="shared" si="4"/>
        <v>BM GC03 _ B _ Recherche de réarrangements génomiques (QMPSF)  _ Qualitatif  _ Semi-automatisée _ 1 _ Bioanalyseur 3500 Genetic Analyzer</v>
      </c>
      <c r="R306" s="286"/>
    </row>
    <row r="307" spans="1:18" ht="89.25" x14ac:dyDescent="0.2">
      <c r="A307" s="14" t="s">
        <v>20</v>
      </c>
      <c r="B307" s="75" t="s">
        <v>739</v>
      </c>
      <c r="C307" s="75" t="s">
        <v>69</v>
      </c>
      <c r="D307" s="75" t="s">
        <v>655</v>
      </c>
      <c r="E307" s="237" t="s">
        <v>748</v>
      </c>
      <c r="F307" s="75" t="s">
        <v>657</v>
      </c>
      <c r="G307" s="75" t="s">
        <v>751</v>
      </c>
      <c r="H307" s="75" t="s">
        <v>741</v>
      </c>
      <c r="I307" s="75" t="s">
        <v>182</v>
      </c>
      <c r="J307" s="76">
        <v>1</v>
      </c>
      <c r="K307" s="75" t="s">
        <v>749</v>
      </c>
      <c r="L307" s="77" t="s">
        <v>752</v>
      </c>
      <c r="M307" s="78"/>
      <c r="N307" s="75" t="s">
        <v>730</v>
      </c>
      <c r="O307" s="80" t="s">
        <v>184</v>
      </c>
      <c r="P307" s="81">
        <v>116</v>
      </c>
      <c r="Q307" s="18" t="str">
        <f t="shared" si="4"/>
        <v>BM GC03 _ B _ MLPA _ Qualitatif  _ Semi-automatisée _ 1 _ Bioanalyseur 3500 Genetic Analyzer</v>
      </c>
      <c r="R307" s="286"/>
    </row>
    <row r="308" spans="1:18" ht="89.25" x14ac:dyDescent="0.2">
      <c r="A308" s="14" t="s">
        <v>20</v>
      </c>
      <c r="B308" s="24" t="s">
        <v>739</v>
      </c>
      <c r="C308" s="24" t="s">
        <v>69</v>
      </c>
      <c r="D308" s="24" t="s">
        <v>655</v>
      </c>
      <c r="E308" s="73" t="s">
        <v>753</v>
      </c>
      <c r="F308" s="24" t="s">
        <v>754</v>
      </c>
      <c r="G308" s="24" t="s">
        <v>751</v>
      </c>
      <c r="H308" s="24" t="s">
        <v>27</v>
      </c>
      <c r="I308" s="24" t="s">
        <v>182</v>
      </c>
      <c r="J308" s="16">
        <v>1</v>
      </c>
      <c r="K308" s="24" t="s">
        <v>742</v>
      </c>
      <c r="L308" s="14" t="s">
        <v>755</v>
      </c>
      <c r="M308" s="19"/>
      <c r="N308" s="24" t="s">
        <v>730</v>
      </c>
      <c r="O308" s="16" t="s">
        <v>31</v>
      </c>
      <c r="P308" s="27">
        <v>6</v>
      </c>
      <c r="Q308" s="18" t="str">
        <f t="shared" si="4"/>
        <v>BM GC03 _ A _ MLPA _ Quantitatif _ Semi-automatisée _ 1 _ Bioanalyseur 3500 Genetic Analyzer </v>
      </c>
      <c r="R308" s="286"/>
    </row>
    <row r="309" spans="1:18" ht="76.5" x14ac:dyDescent="0.2">
      <c r="A309" s="14" t="s">
        <v>20</v>
      </c>
      <c r="B309" s="24" t="s">
        <v>739</v>
      </c>
      <c r="C309" s="24" t="s">
        <v>69</v>
      </c>
      <c r="D309" s="24" t="s">
        <v>655</v>
      </c>
      <c r="E309" s="82" t="s">
        <v>756</v>
      </c>
      <c r="F309" s="24" t="s">
        <v>754</v>
      </c>
      <c r="G309" s="24" t="s">
        <v>740</v>
      </c>
      <c r="H309" s="24" t="s">
        <v>741</v>
      </c>
      <c r="I309" s="24" t="s">
        <v>182</v>
      </c>
      <c r="J309" s="16">
        <v>1</v>
      </c>
      <c r="K309" s="24" t="s">
        <v>742</v>
      </c>
      <c r="L309" s="14" t="s">
        <v>757</v>
      </c>
      <c r="M309" s="19"/>
      <c r="N309" s="24" t="s">
        <v>730</v>
      </c>
      <c r="O309" s="16" t="s">
        <v>184</v>
      </c>
      <c r="P309" s="27">
        <v>5</v>
      </c>
      <c r="Q309" s="18" t="str">
        <f t="shared" si="4"/>
        <v>BM GC03 _ B _ Recherche de réarrangements génomiques (QMPSF)  _ Qualitatif  _ Semi-automatisée _ 1 _ Bioanalyseur 3500 Genetic Analyzer </v>
      </c>
      <c r="R309" s="286"/>
    </row>
    <row r="310" spans="1:18" ht="76.5" x14ac:dyDescent="0.2">
      <c r="A310" s="14" t="s">
        <v>20</v>
      </c>
      <c r="B310" s="24" t="s">
        <v>739</v>
      </c>
      <c r="C310" s="24" t="s">
        <v>69</v>
      </c>
      <c r="D310" s="24" t="s">
        <v>655</v>
      </c>
      <c r="E310" s="82" t="s">
        <v>758</v>
      </c>
      <c r="F310" s="24" t="s">
        <v>754</v>
      </c>
      <c r="G310" s="24" t="s">
        <v>740</v>
      </c>
      <c r="H310" s="24" t="s">
        <v>741</v>
      </c>
      <c r="I310" s="24" t="s">
        <v>182</v>
      </c>
      <c r="J310" s="16">
        <v>1</v>
      </c>
      <c r="K310" s="24" t="s">
        <v>742</v>
      </c>
      <c r="L310" s="14" t="s">
        <v>759</v>
      </c>
      <c r="M310" s="19"/>
      <c r="N310" s="24" t="s">
        <v>730</v>
      </c>
      <c r="O310" s="16" t="s">
        <v>184</v>
      </c>
      <c r="P310" s="27" t="s">
        <v>760</v>
      </c>
      <c r="Q310" s="18" t="str">
        <f t="shared" si="4"/>
        <v>BM GC03 _ B _ Recherche de réarrangements génomiques (QMPSF)  _ Qualitatif  _ Semi-automatisée _ 1 _ Bioanalyseur 3500 Genetic Analyzer </v>
      </c>
      <c r="R310" s="286"/>
    </row>
    <row r="311" spans="1:18" ht="38.25" x14ac:dyDescent="0.2">
      <c r="A311" s="14" t="s">
        <v>20</v>
      </c>
      <c r="B311" s="75" t="s">
        <v>739</v>
      </c>
      <c r="C311" s="75" t="s">
        <v>69</v>
      </c>
      <c r="D311" s="75" t="s">
        <v>655</v>
      </c>
      <c r="E311" s="73" t="s">
        <v>761</v>
      </c>
      <c r="F311" s="72" t="s">
        <v>657</v>
      </c>
      <c r="G311" s="72" t="s">
        <v>762</v>
      </c>
      <c r="H311" s="72" t="s">
        <v>741</v>
      </c>
      <c r="I311" s="72" t="s">
        <v>182</v>
      </c>
      <c r="J311" s="74">
        <v>1</v>
      </c>
      <c r="K311" s="72" t="s">
        <v>742</v>
      </c>
      <c r="L311" s="83" t="s">
        <v>763</v>
      </c>
      <c r="M311" s="84"/>
      <c r="N311" s="72" t="s">
        <v>661</v>
      </c>
      <c r="O311" s="74" t="s">
        <v>184</v>
      </c>
      <c r="P311" s="85">
        <v>689</v>
      </c>
      <c r="Q311" s="18" t="str">
        <f t="shared" si="4"/>
        <v>BM GC04 _ B _ Séquençage Sanger _ Qualitatif  _ Semi-automatisée _ 1 _ Bioanalyseur 3500 Genetic Analyzer </v>
      </c>
      <c r="R311" s="286"/>
    </row>
    <row r="312" spans="1:18" ht="102" x14ac:dyDescent="0.2">
      <c r="A312" s="14" t="s">
        <v>20</v>
      </c>
      <c r="B312" s="14" t="s">
        <v>739</v>
      </c>
      <c r="C312" s="14" t="s">
        <v>69</v>
      </c>
      <c r="D312" s="24" t="s">
        <v>655</v>
      </c>
      <c r="E312" s="20" t="s">
        <v>764</v>
      </c>
      <c r="F312" s="24" t="s">
        <v>657</v>
      </c>
      <c r="G312" s="14" t="s">
        <v>762</v>
      </c>
      <c r="H312" s="14" t="s">
        <v>741</v>
      </c>
      <c r="I312" s="14" t="s">
        <v>182</v>
      </c>
      <c r="J312" s="16">
        <v>1</v>
      </c>
      <c r="K312" s="24" t="s">
        <v>742</v>
      </c>
      <c r="L312" s="14" t="s">
        <v>763</v>
      </c>
      <c r="M312" s="29"/>
      <c r="N312" s="14" t="s">
        <v>661</v>
      </c>
      <c r="O312" s="16" t="s">
        <v>184</v>
      </c>
      <c r="P312" s="27">
        <v>41</v>
      </c>
      <c r="Q312" s="18" t="str">
        <f t="shared" si="4"/>
        <v>BM GC04 _ B _ Séquençage Sanger _ Qualitatif  _ Semi-automatisée _ 1 _ Bioanalyseur 3500 Genetic Analyzer </v>
      </c>
      <c r="R312" s="286"/>
    </row>
    <row r="313" spans="1:18" ht="89.25" x14ac:dyDescent="0.2">
      <c r="A313" s="14" t="s">
        <v>20</v>
      </c>
      <c r="B313" s="14" t="s">
        <v>739</v>
      </c>
      <c r="C313" s="14" t="s">
        <v>69</v>
      </c>
      <c r="D313" s="24" t="s">
        <v>655</v>
      </c>
      <c r="E313" s="38" t="s">
        <v>765</v>
      </c>
      <c r="F313" s="24" t="s">
        <v>657</v>
      </c>
      <c r="G313" s="24" t="s">
        <v>762</v>
      </c>
      <c r="H313" s="24" t="s">
        <v>741</v>
      </c>
      <c r="I313" s="24" t="s">
        <v>182</v>
      </c>
      <c r="J313" s="16">
        <v>1</v>
      </c>
      <c r="K313" s="24" t="s">
        <v>742</v>
      </c>
      <c r="L313" s="14" t="s">
        <v>763</v>
      </c>
      <c r="M313" s="29"/>
      <c r="N313" s="24" t="s">
        <v>661</v>
      </c>
      <c r="O313" s="16" t="s">
        <v>184</v>
      </c>
      <c r="P313" s="27">
        <v>16</v>
      </c>
      <c r="Q313" s="18" t="str">
        <f t="shared" si="4"/>
        <v>BM GC04 _ B _ Séquençage Sanger _ Qualitatif  _ Semi-automatisée _ 1 _ Bioanalyseur 3500 Genetic Analyzer </v>
      </c>
      <c r="R313" s="286"/>
    </row>
    <row r="314" spans="1:18" ht="38.25" x14ac:dyDescent="0.2">
      <c r="A314" s="14" t="s">
        <v>20</v>
      </c>
      <c r="B314" s="14" t="s">
        <v>739</v>
      </c>
      <c r="C314" s="14" t="s">
        <v>69</v>
      </c>
      <c r="D314" s="24" t="s">
        <v>655</v>
      </c>
      <c r="E314" s="24" t="s">
        <v>766</v>
      </c>
      <c r="F314" s="24" t="s">
        <v>657</v>
      </c>
      <c r="G314" s="24" t="s">
        <v>762</v>
      </c>
      <c r="H314" s="24" t="s">
        <v>741</v>
      </c>
      <c r="I314" s="24" t="s">
        <v>182</v>
      </c>
      <c r="J314" s="16">
        <v>1</v>
      </c>
      <c r="K314" s="24" t="s">
        <v>742</v>
      </c>
      <c r="L314" s="14" t="s">
        <v>763</v>
      </c>
      <c r="M314" s="29"/>
      <c r="N314" s="54" t="s">
        <v>661</v>
      </c>
      <c r="O314" s="16" t="s">
        <v>184</v>
      </c>
      <c r="P314" s="27">
        <v>152</v>
      </c>
      <c r="Q314" s="18" t="str">
        <f t="shared" si="4"/>
        <v>BM GC04 _ B _ Séquençage Sanger _ Qualitatif  _ Semi-automatisée _ 1 _ Bioanalyseur 3500 Genetic Analyzer </v>
      </c>
      <c r="R314" s="286"/>
    </row>
    <row r="315" spans="1:18" ht="102" x14ac:dyDescent="0.2">
      <c r="A315" s="14" t="s">
        <v>20</v>
      </c>
      <c r="B315" s="23" t="s">
        <v>739</v>
      </c>
      <c r="C315" s="23" t="s">
        <v>22</v>
      </c>
      <c r="D315" s="23" t="s">
        <v>655</v>
      </c>
      <c r="E315" s="228" t="s">
        <v>767</v>
      </c>
      <c r="F315" s="86" t="s">
        <v>754</v>
      </c>
      <c r="G315" s="229" t="s">
        <v>768</v>
      </c>
      <c r="H315" s="23" t="s">
        <v>27</v>
      </c>
      <c r="I315" s="87" t="s">
        <v>182</v>
      </c>
      <c r="J315" s="16">
        <v>1</v>
      </c>
      <c r="K315" s="24" t="s">
        <v>742</v>
      </c>
      <c r="L315" s="87" t="s">
        <v>769</v>
      </c>
      <c r="M315" s="29"/>
      <c r="N315" s="19" t="s">
        <v>661</v>
      </c>
      <c r="O315" s="36" t="s">
        <v>184</v>
      </c>
      <c r="P315" s="27">
        <v>521</v>
      </c>
      <c r="Q315" s="18" t="str">
        <f t="shared" si="4"/>
        <v>BM GC04 _ B _ Analyse de taille de fragments fluorescents par PCR multiplex et par RP-PCR  _ Quantitatif _ Semi-automatisée _ 1 _ Bioanalyseur 3500 Genetic Analyzer </v>
      </c>
      <c r="R315" s="286"/>
    </row>
    <row r="316" spans="1:18" ht="409.5" x14ac:dyDescent="0.2">
      <c r="A316" s="14" t="s">
        <v>20</v>
      </c>
      <c r="B316" s="23" t="s">
        <v>739</v>
      </c>
      <c r="C316" s="23" t="s">
        <v>22</v>
      </c>
      <c r="D316" s="23" t="s">
        <v>655</v>
      </c>
      <c r="E316" s="228" t="s">
        <v>770</v>
      </c>
      <c r="F316" s="86" t="s">
        <v>754</v>
      </c>
      <c r="G316" s="229" t="s">
        <v>771</v>
      </c>
      <c r="H316" s="23" t="s">
        <v>170</v>
      </c>
      <c r="I316" s="87" t="s">
        <v>182</v>
      </c>
      <c r="J316" s="16">
        <v>4</v>
      </c>
      <c r="K316" s="87" t="s">
        <v>772</v>
      </c>
      <c r="L316" s="87" t="s">
        <v>773</v>
      </c>
      <c r="M316" s="19"/>
      <c r="N316" s="19" t="s">
        <v>661</v>
      </c>
      <c r="O316" s="36" t="s">
        <v>184</v>
      </c>
      <c r="P316" s="27">
        <v>27</v>
      </c>
      <c r="Q316" s="18" t="str">
        <f t="shared" si="4"/>
        <v>BM GC04 _ B _ Introduction d'un mésappariement dans l’amorce reverse de la PCR qui s’hybride sur l’exon 7 (X7-Dra). L’amorce se termine juste avant la position c.840 qui distingue SMN1 et SMN2 (C sur SMN1 et T sur SMN2). Le mésappariement permet la création d’un site de restriction DraI (TTTAAA) exclusivement dans le produit amplifié issu du gène SMN2. Puis migration sur gel d’agarose du produit de digestion. _ Qualitatif _ Semi-automatisée _ 4 _ Thermocycleur : ABI 9700 Alu ou 9700 or1 ou 9700 or2 ou Proflex1
Transilluminateur UV
Cuve électrophorèse</v>
      </c>
      <c r="R316" s="286"/>
    </row>
    <row r="317" spans="1:18" ht="102" x14ac:dyDescent="0.2">
      <c r="A317" s="14" t="s">
        <v>20</v>
      </c>
      <c r="B317" s="88" t="s">
        <v>739</v>
      </c>
      <c r="C317" s="88" t="s">
        <v>22</v>
      </c>
      <c r="D317" s="57" t="s">
        <v>655</v>
      </c>
      <c r="E317" s="47" t="s">
        <v>774</v>
      </c>
      <c r="F317" s="88" t="s">
        <v>775</v>
      </c>
      <c r="G317" s="88" t="s">
        <v>776</v>
      </c>
      <c r="H317" s="45" t="s">
        <v>517</v>
      </c>
      <c r="I317" s="45" t="s">
        <v>777</v>
      </c>
      <c r="J317" s="45">
        <v>1</v>
      </c>
      <c r="K317" s="88" t="s">
        <v>778</v>
      </c>
      <c r="L317" s="88" t="s">
        <v>779</v>
      </c>
      <c r="M317" s="43"/>
      <c r="N317" s="88" t="s">
        <v>780</v>
      </c>
      <c r="O317" s="59" t="s">
        <v>184</v>
      </c>
      <c r="P317" s="27">
        <v>43</v>
      </c>
      <c r="Q317" s="18" t="str">
        <f t="shared" si="4"/>
        <v>BM GC05 _ B _ Etude de l'empreinte par analyse de taille de fragments après PCR Methyl spécifique _ qualitatif _ semi-automatisée _ 1 _ Bioanalyseur 3500</v>
      </c>
      <c r="R317" s="286"/>
    </row>
    <row r="318" spans="1:18" ht="102" x14ac:dyDescent="0.2">
      <c r="A318" s="14" t="s">
        <v>20</v>
      </c>
      <c r="B318" s="88" t="s">
        <v>739</v>
      </c>
      <c r="C318" s="88" t="s">
        <v>22</v>
      </c>
      <c r="D318" s="57" t="s">
        <v>655</v>
      </c>
      <c r="E318" s="88" t="s">
        <v>781</v>
      </c>
      <c r="F318" s="88" t="s">
        <v>775</v>
      </c>
      <c r="G318" s="88" t="s">
        <v>776</v>
      </c>
      <c r="H318" s="45" t="s">
        <v>517</v>
      </c>
      <c r="I318" s="45" t="s">
        <v>777</v>
      </c>
      <c r="J318" s="45">
        <v>1</v>
      </c>
      <c r="K318" s="88" t="s">
        <v>778</v>
      </c>
      <c r="L318" s="88" t="s">
        <v>779</v>
      </c>
      <c r="M318" s="43"/>
      <c r="N318" s="88" t="s">
        <v>780</v>
      </c>
      <c r="O318" s="59" t="s">
        <v>184</v>
      </c>
      <c r="P318" s="27">
        <v>8</v>
      </c>
      <c r="Q318" s="18" t="str">
        <f t="shared" si="4"/>
        <v>BM GC05 _ B _ Etude de l'empreinte par analyse de taille de fragments après PCR Methyl spécifique _ qualitatif _ semi-automatisée _ 1 _ Bioanalyseur 3500</v>
      </c>
      <c r="R318" s="286"/>
    </row>
    <row r="319" spans="1:18" ht="178.5" x14ac:dyDescent="0.2">
      <c r="A319" s="14" t="s">
        <v>20</v>
      </c>
      <c r="B319" s="88" t="s">
        <v>739</v>
      </c>
      <c r="C319" s="88" t="s">
        <v>22</v>
      </c>
      <c r="D319" s="57" t="s">
        <v>655</v>
      </c>
      <c r="E319" s="47" t="s">
        <v>782</v>
      </c>
      <c r="F319" s="88" t="s">
        <v>775</v>
      </c>
      <c r="G319" s="58" t="s">
        <v>1639</v>
      </c>
      <c r="H319" s="58" t="s">
        <v>517</v>
      </c>
      <c r="I319" s="45" t="s">
        <v>777</v>
      </c>
      <c r="J319" s="44">
        <v>4</v>
      </c>
      <c r="K319" s="64" t="s">
        <v>1673</v>
      </c>
      <c r="L319" s="88" t="s">
        <v>783</v>
      </c>
      <c r="M319" s="88"/>
      <c r="N319" s="88" t="s">
        <v>663</v>
      </c>
      <c r="O319" s="59" t="s">
        <v>184</v>
      </c>
      <c r="P319" s="27">
        <v>1193</v>
      </c>
      <c r="Q319" s="18" t="str">
        <f t="shared" si="4"/>
        <v>BM GC07 _ B _ Recherche d'altérations moléculaires par séquençage haut débit NGS _ qualitatif _ semi-automatisée _ 4 _ Séquenceurs Illumina MiSeq
Séquenceur Illumina NextSeq
Novaseq</v>
      </c>
      <c r="R319" s="286"/>
    </row>
    <row r="320" spans="1:18" ht="63.75" x14ac:dyDescent="0.2">
      <c r="A320" s="14" t="s">
        <v>20</v>
      </c>
      <c r="B320" s="88" t="s">
        <v>739</v>
      </c>
      <c r="C320" s="88" t="s">
        <v>22</v>
      </c>
      <c r="D320" s="57" t="s">
        <v>655</v>
      </c>
      <c r="E320" s="371" t="s">
        <v>1785</v>
      </c>
      <c r="F320" s="88" t="s">
        <v>775</v>
      </c>
      <c r="G320" s="58" t="s">
        <v>1788</v>
      </c>
      <c r="H320" s="58" t="s">
        <v>517</v>
      </c>
      <c r="I320" s="45" t="s">
        <v>777</v>
      </c>
      <c r="J320" s="44">
        <v>4</v>
      </c>
      <c r="K320" s="64" t="s">
        <v>1673</v>
      </c>
      <c r="L320" s="88" t="s">
        <v>1786</v>
      </c>
      <c r="M320" s="271" t="s">
        <v>1787</v>
      </c>
      <c r="N320" s="88" t="s">
        <v>663</v>
      </c>
      <c r="O320" s="59" t="s">
        <v>184</v>
      </c>
      <c r="P320" s="27">
        <v>120</v>
      </c>
      <c r="Q320" s="18" t="str">
        <f t="shared" si="4"/>
        <v>BM GC07 _ B _ Séquençage haut débit NGS _ qualitatif _ semi-automatisée _ 4 _ Séquenceurs Illumina MiSeq
Séquenceur Illumina NextSeq
Novaseq</v>
      </c>
      <c r="R320" s="286"/>
    </row>
    <row r="321" spans="1:18" ht="102" x14ac:dyDescent="0.2">
      <c r="A321" s="14" t="s">
        <v>20</v>
      </c>
      <c r="B321" s="14" t="s">
        <v>120</v>
      </c>
      <c r="C321" s="14" t="s">
        <v>22</v>
      </c>
      <c r="D321" s="15" t="s">
        <v>23</v>
      </c>
      <c r="E321" s="14" t="s">
        <v>784</v>
      </c>
      <c r="F321" s="14" t="s">
        <v>25</v>
      </c>
      <c r="G321" s="14" t="s">
        <v>785</v>
      </c>
      <c r="H321" s="14" t="s">
        <v>27</v>
      </c>
      <c r="I321" s="14" t="s">
        <v>28</v>
      </c>
      <c r="J321" s="16">
        <v>1</v>
      </c>
      <c r="K321" s="14" t="s">
        <v>786</v>
      </c>
      <c r="L321" s="14" t="s">
        <v>1535</v>
      </c>
      <c r="M321" s="271" t="s">
        <v>1505</v>
      </c>
      <c r="N321" s="26" t="s">
        <v>282</v>
      </c>
      <c r="O321" s="16" t="s">
        <v>31</v>
      </c>
      <c r="P321" s="27">
        <v>2103</v>
      </c>
      <c r="Q321" s="18" t="str">
        <f t="shared" si="4"/>
        <v>BM BB02 _ A _ Chromatographie Liquide Haute Performance avec détection par spectrophotomètrie _ Quantitatif _ Automatisée _ 1 _ BIORAD Variant II</v>
      </c>
      <c r="R321" s="286"/>
    </row>
    <row r="322" spans="1:18" ht="89.25" x14ac:dyDescent="0.2">
      <c r="A322" s="14" t="s">
        <v>20</v>
      </c>
      <c r="B322" s="25" t="s">
        <v>120</v>
      </c>
      <c r="C322" s="25" t="s">
        <v>22</v>
      </c>
      <c r="D322" s="25" t="s">
        <v>23</v>
      </c>
      <c r="E322" s="25" t="s">
        <v>787</v>
      </c>
      <c r="F322" s="25" t="s">
        <v>788</v>
      </c>
      <c r="G322" s="25" t="s">
        <v>789</v>
      </c>
      <c r="H322" s="25" t="s">
        <v>27</v>
      </c>
      <c r="I322" s="25" t="s">
        <v>28</v>
      </c>
      <c r="J322" s="16">
        <v>1</v>
      </c>
      <c r="K322" s="25" t="s">
        <v>790</v>
      </c>
      <c r="L322" s="23" t="s">
        <v>1566</v>
      </c>
      <c r="M322" s="271" t="s">
        <v>1506</v>
      </c>
      <c r="N322" s="26" t="s">
        <v>30</v>
      </c>
      <c r="O322" s="36" t="s">
        <v>184</v>
      </c>
      <c r="P322" s="27">
        <v>646</v>
      </c>
      <c r="Q322" s="18" t="str">
        <f t="shared" si="4"/>
        <v>BM BB01 _ B _ Cinétique enzymatique par spectrophotométrie _ Quantitatif _ Automatisée _ 1 _ Analytikjena/Specord 205/222A477</v>
      </c>
      <c r="R322" s="299"/>
    </row>
    <row r="323" spans="1:18" ht="150" customHeight="1" x14ac:dyDescent="0.2">
      <c r="A323" s="14" t="s">
        <v>20</v>
      </c>
      <c r="B323" s="25" t="s">
        <v>120</v>
      </c>
      <c r="C323" s="25" t="s">
        <v>22</v>
      </c>
      <c r="D323" s="25" t="s">
        <v>23</v>
      </c>
      <c r="E323" s="25" t="s">
        <v>791</v>
      </c>
      <c r="F323" s="25" t="s">
        <v>788</v>
      </c>
      <c r="G323" s="25" t="s">
        <v>789</v>
      </c>
      <c r="H323" s="25" t="s">
        <v>27</v>
      </c>
      <c r="I323" s="25" t="s">
        <v>28</v>
      </c>
      <c r="J323" s="16">
        <v>1</v>
      </c>
      <c r="K323" s="25" t="s">
        <v>790</v>
      </c>
      <c r="L323" s="194" t="s">
        <v>1517</v>
      </c>
      <c r="M323" s="271" t="s">
        <v>1506</v>
      </c>
      <c r="N323" s="26" t="s">
        <v>30</v>
      </c>
      <c r="O323" s="36" t="s">
        <v>184</v>
      </c>
      <c r="P323" s="27">
        <v>646</v>
      </c>
      <c r="Q323" s="18" t="str">
        <f t="shared" si="4"/>
        <v>BM BB01 _ B _ Cinétique enzymatique par spectrophotométrie _ Quantitatif _ Automatisée _ 1 _ Analytikjena/Specord 205/222A477</v>
      </c>
      <c r="R323" s="286"/>
    </row>
    <row r="324" spans="1:18" ht="357" x14ac:dyDescent="0.2">
      <c r="A324" s="14" t="s">
        <v>20</v>
      </c>
      <c r="B324" s="25" t="s">
        <v>120</v>
      </c>
      <c r="C324" s="25" t="s">
        <v>22</v>
      </c>
      <c r="D324" s="25" t="s">
        <v>23</v>
      </c>
      <c r="E324" s="25" t="s">
        <v>792</v>
      </c>
      <c r="F324" s="25" t="s">
        <v>788</v>
      </c>
      <c r="G324" s="25" t="s">
        <v>793</v>
      </c>
      <c r="H324" s="25" t="s">
        <v>170</v>
      </c>
      <c r="I324" s="25" t="s">
        <v>171</v>
      </c>
      <c r="J324" s="16"/>
      <c r="K324" s="25"/>
      <c r="L324" s="14" t="s">
        <v>1535</v>
      </c>
      <c r="M324" s="271" t="s">
        <v>1534</v>
      </c>
      <c r="N324" s="26" t="s">
        <v>505</v>
      </c>
      <c r="O324" s="36" t="s">
        <v>31</v>
      </c>
      <c r="P324" s="27">
        <v>19</v>
      </c>
      <c r="Q324" s="18" t="str">
        <f t="shared" si="4"/>
        <v xml:space="preserve">BM BB04 _ A _ Détermination qualitative des fractions d’hémoglobine par migration d’un hémolysat sur un gel d’agarose contenant des ampholytes de pH 6-8 sur lequel est appliqué un courant électrique, permettant aux différentes hémoglobines de migrer jusqu’à leur point isoélectrique et formant une bande. _ Qualitatif _ Manuelle _  _ </v>
      </c>
      <c r="R324" s="286"/>
    </row>
    <row r="325" spans="1:18" ht="306" x14ac:dyDescent="0.2">
      <c r="A325" s="14" t="s">
        <v>20</v>
      </c>
      <c r="B325" s="25" t="s">
        <v>120</v>
      </c>
      <c r="C325" s="25" t="s">
        <v>22</v>
      </c>
      <c r="D325" s="25" t="s">
        <v>23</v>
      </c>
      <c r="E325" s="25" t="s">
        <v>794</v>
      </c>
      <c r="F325" s="25" t="s">
        <v>25</v>
      </c>
      <c r="G325" s="25" t="s">
        <v>795</v>
      </c>
      <c r="H325" s="25" t="s">
        <v>27</v>
      </c>
      <c r="I325" s="25" t="s">
        <v>28</v>
      </c>
      <c r="J325" s="16">
        <v>1</v>
      </c>
      <c r="K325" s="25" t="s">
        <v>796</v>
      </c>
      <c r="L325" s="14" t="s">
        <v>1535</v>
      </c>
      <c r="M325" s="271" t="s">
        <v>1534</v>
      </c>
      <c r="N325" s="26" t="s">
        <v>505</v>
      </c>
      <c r="O325" s="36" t="s">
        <v>31</v>
      </c>
      <c r="P325" s="27">
        <v>917</v>
      </c>
      <c r="Q325" s="18" t="str">
        <f t="shared" si="4"/>
        <v>BM BB04 _ A _ Séparation des différentes hémoglobines présentes dans le sang total d'un individu par électrophorèse capillaire selon leur mobilité électrophorétique (pH basique du tampon, flux électroendosmose) et détection par spectrophotomètrie à 415 nm (code BB1 du SH INF 50). _ Quantitatif _ Automatisée _ 1 _ Capillarys 3 Octa, Sebia</v>
      </c>
      <c r="R325" s="286"/>
    </row>
    <row r="326" spans="1:18" ht="63.75" x14ac:dyDescent="0.2">
      <c r="A326" s="14" t="s">
        <v>20</v>
      </c>
      <c r="B326" s="14" t="s">
        <v>120</v>
      </c>
      <c r="C326" s="14" t="s">
        <v>22</v>
      </c>
      <c r="D326" s="14" t="s">
        <v>121</v>
      </c>
      <c r="E326" s="14" t="s">
        <v>797</v>
      </c>
      <c r="F326" s="14" t="s">
        <v>123</v>
      </c>
      <c r="G326" s="14" t="s">
        <v>73</v>
      </c>
      <c r="H326" s="14" t="s">
        <v>27</v>
      </c>
      <c r="I326" s="14" t="s">
        <v>28</v>
      </c>
      <c r="J326" s="16">
        <v>1</v>
      </c>
      <c r="K326" s="14" t="s">
        <v>1626</v>
      </c>
      <c r="L326" s="14" t="s">
        <v>1629</v>
      </c>
      <c r="M326" s="271" t="s">
        <v>1632</v>
      </c>
      <c r="N326" s="26" t="s">
        <v>125</v>
      </c>
      <c r="O326" s="16" t="s">
        <v>31</v>
      </c>
      <c r="P326" s="27">
        <v>530</v>
      </c>
      <c r="Q326" s="18" t="str">
        <f t="shared" si="4"/>
        <v>BM CB02 _ A _ Immunoturbidimétrie _ Quantitatif _ Automatisée _ 1 _ STARMAX2
Diagnostica STAGO</v>
      </c>
      <c r="R326" s="286"/>
    </row>
    <row r="327" spans="1:18" ht="127.5" x14ac:dyDescent="0.2">
      <c r="A327" s="14" t="s">
        <v>20</v>
      </c>
      <c r="B327" s="14" t="s">
        <v>120</v>
      </c>
      <c r="C327" s="14" t="s">
        <v>22</v>
      </c>
      <c r="D327" s="14" t="s">
        <v>121</v>
      </c>
      <c r="E327" s="20" t="s">
        <v>798</v>
      </c>
      <c r="F327" s="14" t="s">
        <v>123</v>
      </c>
      <c r="G327" s="14" t="s">
        <v>799</v>
      </c>
      <c r="H327" s="14" t="s">
        <v>27</v>
      </c>
      <c r="I327" s="14" t="s">
        <v>28</v>
      </c>
      <c r="J327" s="16">
        <v>2</v>
      </c>
      <c r="K327" s="203" t="s">
        <v>1630</v>
      </c>
      <c r="L327" s="203" t="s">
        <v>1567</v>
      </c>
      <c r="M327" s="203" t="s">
        <v>1631</v>
      </c>
      <c r="N327" s="26" t="s">
        <v>125</v>
      </c>
      <c r="O327" s="16" t="s">
        <v>31</v>
      </c>
      <c r="P327" s="27">
        <v>536</v>
      </c>
      <c r="Q327" s="18" t="str">
        <f t="shared" si="4"/>
        <v xml:space="preserve">BM CB02 _ A _ Technique Colorimétrique _ Quantitatif _ Automatisée _ 2 _ STAR Max3 et STARMAX2 Diagnostica STAGO (chu)    </v>
      </c>
      <c r="R327" s="286"/>
    </row>
    <row r="328" spans="1:18" ht="63.75" x14ac:dyDescent="0.2">
      <c r="A328" s="14" t="s">
        <v>20</v>
      </c>
      <c r="B328" s="19" t="s">
        <v>120</v>
      </c>
      <c r="C328" s="19" t="s">
        <v>22</v>
      </c>
      <c r="D328" s="25" t="s">
        <v>121</v>
      </c>
      <c r="E328" s="14" t="s">
        <v>800</v>
      </c>
      <c r="F328" s="19" t="s">
        <v>123</v>
      </c>
      <c r="G328" s="14" t="s">
        <v>127</v>
      </c>
      <c r="H328" s="14" t="s">
        <v>27</v>
      </c>
      <c r="I328" s="19" t="s">
        <v>28</v>
      </c>
      <c r="J328" s="16">
        <v>2</v>
      </c>
      <c r="K328" s="203" t="s">
        <v>1558</v>
      </c>
      <c r="L328" s="203" t="s">
        <v>1568</v>
      </c>
      <c r="M328" s="203" t="s">
        <v>1560</v>
      </c>
      <c r="N328" s="26" t="s">
        <v>125</v>
      </c>
      <c r="O328" s="16" t="s">
        <v>31</v>
      </c>
      <c r="P328" s="285">
        <v>2701</v>
      </c>
      <c r="Q328" s="18" t="str">
        <f t="shared" si="4"/>
        <v xml:space="preserve">BM CB02 _ A _ Chronométrie _ Quantitatif _ Automatisée _ 2 _ STAR Max3 Diagnostica STAGO (chu)    </v>
      </c>
      <c r="R328" s="286"/>
    </row>
    <row r="329" spans="1:18" ht="63.75" x14ac:dyDescent="0.2">
      <c r="A329" s="14" t="s">
        <v>20</v>
      </c>
      <c r="B329" s="19" t="s">
        <v>120</v>
      </c>
      <c r="C329" s="19" t="s">
        <v>22</v>
      </c>
      <c r="D329" s="25" t="s">
        <v>121</v>
      </c>
      <c r="E329" s="14" t="s">
        <v>801</v>
      </c>
      <c r="F329" s="19" t="s">
        <v>123</v>
      </c>
      <c r="G329" s="14" t="s">
        <v>127</v>
      </c>
      <c r="H329" s="14" t="s">
        <v>27</v>
      </c>
      <c r="I329" s="19" t="s">
        <v>28</v>
      </c>
      <c r="J329" s="16">
        <v>2</v>
      </c>
      <c r="K329" s="203" t="s">
        <v>1558</v>
      </c>
      <c r="L329" s="203" t="s">
        <v>1569</v>
      </c>
      <c r="M329" s="203" t="s">
        <v>1560</v>
      </c>
      <c r="N329" s="26" t="s">
        <v>125</v>
      </c>
      <c r="O329" s="16" t="s">
        <v>31</v>
      </c>
      <c r="P329" s="285">
        <v>6614</v>
      </c>
      <c r="Q329" s="18" t="str">
        <f t="shared" si="4"/>
        <v xml:space="preserve">BM CB02 _ A _ Chronométrie _ Quantitatif _ Automatisée _ 2 _ STAR Max3 Diagnostica STAGO (chu)    </v>
      </c>
      <c r="R329" s="286"/>
    </row>
    <row r="330" spans="1:18" s="90" customFormat="1" ht="63.75" x14ac:dyDescent="0.2">
      <c r="A330" s="14" t="s">
        <v>20</v>
      </c>
      <c r="B330" s="19" t="s">
        <v>120</v>
      </c>
      <c r="C330" s="19" t="s">
        <v>22</v>
      </c>
      <c r="D330" s="25" t="s">
        <v>121</v>
      </c>
      <c r="E330" s="14" t="s">
        <v>802</v>
      </c>
      <c r="F330" s="19" t="s">
        <v>123</v>
      </c>
      <c r="G330" s="14" t="s">
        <v>127</v>
      </c>
      <c r="H330" s="14" t="s">
        <v>27</v>
      </c>
      <c r="I330" s="19" t="s">
        <v>28</v>
      </c>
      <c r="J330" s="16">
        <v>2</v>
      </c>
      <c r="K330" s="203" t="s">
        <v>1558</v>
      </c>
      <c r="L330" s="203" t="s">
        <v>1570</v>
      </c>
      <c r="M330" s="203" t="s">
        <v>1560</v>
      </c>
      <c r="N330" s="26" t="s">
        <v>125</v>
      </c>
      <c r="O330" s="16" t="s">
        <v>31</v>
      </c>
      <c r="P330" s="285">
        <v>2593</v>
      </c>
      <c r="Q330" s="18" t="str">
        <f t="shared" si="4"/>
        <v xml:space="preserve">BM CB02 _ A _ Chronométrie _ Quantitatif _ Automatisée _ 2 _ STAR Max3 Diagnostica STAGO (chu)    </v>
      </c>
      <c r="R330" s="286"/>
    </row>
    <row r="331" spans="1:18" ht="63.75" x14ac:dyDescent="0.2">
      <c r="A331" s="14" t="s">
        <v>20</v>
      </c>
      <c r="B331" s="19" t="s">
        <v>120</v>
      </c>
      <c r="C331" s="19" t="s">
        <v>22</v>
      </c>
      <c r="D331" s="25" t="s">
        <v>121</v>
      </c>
      <c r="E331" s="14" t="s">
        <v>803</v>
      </c>
      <c r="F331" s="19" t="s">
        <v>123</v>
      </c>
      <c r="G331" s="14" t="s">
        <v>127</v>
      </c>
      <c r="H331" s="14" t="s">
        <v>27</v>
      </c>
      <c r="I331" s="19" t="s">
        <v>28</v>
      </c>
      <c r="J331" s="16">
        <v>2</v>
      </c>
      <c r="K331" s="203" t="s">
        <v>1558</v>
      </c>
      <c r="L331" s="203" t="s">
        <v>1571</v>
      </c>
      <c r="M331" s="203" t="s">
        <v>1560</v>
      </c>
      <c r="N331" s="26" t="s">
        <v>125</v>
      </c>
      <c r="O331" s="16" t="s">
        <v>31</v>
      </c>
      <c r="P331" s="285">
        <v>2596</v>
      </c>
      <c r="Q331" s="18" t="str">
        <f t="shared" si="4"/>
        <v xml:space="preserve">BM CB02 _ A _ Chronométrie _ Quantitatif _ Automatisée _ 2 _ STAR Max3 Diagnostica STAGO (chu)    </v>
      </c>
      <c r="R331" s="286"/>
    </row>
    <row r="332" spans="1:18" ht="25.5" x14ac:dyDescent="0.2">
      <c r="A332" s="14" t="s">
        <v>20</v>
      </c>
      <c r="B332" s="14" t="s">
        <v>120</v>
      </c>
      <c r="C332" s="14" t="s">
        <v>22</v>
      </c>
      <c r="D332" s="14" t="s">
        <v>121</v>
      </c>
      <c r="E332" s="14" t="s">
        <v>804</v>
      </c>
      <c r="F332" s="14" t="s">
        <v>123</v>
      </c>
      <c r="G332" s="14" t="s">
        <v>127</v>
      </c>
      <c r="H332" s="14" t="s">
        <v>27</v>
      </c>
      <c r="I332" s="14" t="s">
        <v>28</v>
      </c>
      <c r="J332" s="16">
        <v>1</v>
      </c>
      <c r="K332" s="14" t="s">
        <v>805</v>
      </c>
      <c r="L332" s="14" t="s">
        <v>806</v>
      </c>
      <c r="M332" s="19"/>
      <c r="N332" s="26" t="s">
        <v>125</v>
      </c>
      <c r="O332" s="89" t="s">
        <v>184</v>
      </c>
      <c r="P332" s="285">
        <v>482</v>
      </c>
      <c r="Q332" s="18" t="str">
        <f t="shared" si="4"/>
        <v>BM CB02 _ B _ Chronométrie _ Quantitatif _ Automatisée _ 1 _ STAR Max 3</v>
      </c>
      <c r="R332" s="286"/>
    </row>
    <row r="333" spans="1:18" ht="38.25" x14ac:dyDescent="0.2">
      <c r="A333" s="14" t="s">
        <v>20</v>
      </c>
      <c r="B333" s="14" t="s">
        <v>120</v>
      </c>
      <c r="C333" s="14" t="s">
        <v>22</v>
      </c>
      <c r="D333" s="25" t="s">
        <v>121</v>
      </c>
      <c r="E333" s="14" t="s">
        <v>807</v>
      </c>
      <c r="F333" s="14" t="s">
        <v>123</v>
      </c>
      <c r="G333" s="14" t="s">
        <v>808</v>
      </c>
      <c r="H333" s="14" t="s">
        <v>27</v>
      </c>
      <c r="I333" s="14" t="s">
        <v>28</v>
      </c>
      <c r="J333" s="16">
        <v>1</v>
      </c>
      <c r="K333" s="14" t="s">
        <v>809</v>
      </c>
      <c r="L333" s="14" t="s">
        <v>810</v>
      </c>
      <c r="M333" s="14"/>
      <c r="N333" s="26" t="s">
        <v>125</v>
      </c>
      <c r="O333" s="16" t="s">
        <v>31</v>
      </c>
      <c r="P333" s="285">
        <v>145</v>
      </c>
      <c r="Q333" s="18" t="str">
        <f t="shared" si="4"/>
        <v>BM CB02 _ A _ Dosage chromogénique _ Quantitatif _ Automatisée _ 1 _  SYSMEX : CN 3500</v>
      </c>
      <c r="R333" s="286"/>
    </row>
    <row r="334" spans="1:18" ht="38.25" x14ac:dyDescent="0.2">
      <c r="A334" s="14" t="s">
        <v>20</v>
      </c>
      <c r="B334" s="14" t="s">
        <v>120</v>
      </c>
      <c r="C334" s="14" t="s">
        <v>22</v>
      </c>
      <c r="D334" s="25" t="s">
        <v>121</v>
      </c>
      <c r="E334" s="14" t="s">
        <v>811</v>
      </c>
      <c r="F334" s="14" t="s">
        <v>123</v>
      </c>
      <c r="G334" s="14" t="s">
        <v>808</v>
      </c>
      <c r="H334" s="14" t="s">
        <v>27</v>
      </c>
      <c r="I334" s="14" t="s">
        <v>28</v>
      </c>
      <c r="J334" s="16">
        <v>1</v>
      </c>
      <c r="K334" s="14" t="s">
        <v>809</v>
      </c>
      <c r="L334" s="14" t="s">
        <v>812</v>
      </c>
      <c r="M334" s="14"/>
      <c r="N334" s="26" t="s">
        <v>125</v>
      </c>
      <c r="O334" s="16" t="s">
        <v>184</v>
      </c>
      <c r="P334" s="285">
        <v>42</v>
      </c>
      <c r="Q334" s="18" t="str">
        <f t="shared" si="4"/>
        <v>BM CB02 _ B _ Dosage chromogénique _ Quantitatif _ Automatisée _ 1 _  SYSMEX : CN 3500</v>
      </c>
      <c r="R334" s="286"/>
    </row>
    <row r="335" spans="1:18" ht="63.75" x14ac:dyDescent="0.2">
      <c r="A335" s="14" t="s">
        <v>20</v>
      </c>
      <c r="B335" s="14" t="s">
        <v>120</v>
      </c>
      <c r="C335" s="14" t="s">
        <v>22</v>
      </c>
      <c r="D335" s="25" t="s">
        <v>121</v>
      </c>
      <c r="E335" s="14" t="s">
        <v>813</v>
      </c>
      <c r="F335" s="14" t="s">
        <v>123</v>
      </c>
      <c r="G335" s="14" t="s">
        <v>73</v>
      </c>
      <c r="H335" s="14" t="s">
        <v>27</v>
      </c>
      <c r="I335" s="14" t="s">
        <v>28</v>
      </c>
      <c r="J335" s="16">
        <v>2</v>
      </c>
      <c r="K335" s="203" t="s">
        <v>1558</v>
      </c>
      <c r="L335" s="203" t="s">
        <v>1572</v>
      </c>
      <c r="M335" s="203" t="s">
        <v>1560</v>
      </c>
      <c r="N335" s="26" t="s">
        <v>125</v>
      </c>
      <c r="O335" s="16" t="s">
        <v>31</v>
      </c>
      <c r="P335" s="296">
        <v>1119</v>
      </c>
      <c r="Q335" s="18" t="str">
        <f t="shared" si="4"/>
        <v xml:space="preserve">BM CB02 _ A _ Immunoturbidimétrie _ Quantitatif _ Automatisée _ 2 _ STAR Max3 Diagnostica STAGO (chu)    </v>
      </c>
      <c r="R335" s="286"/>
    </row>
    <row r="336" spans="1:18" ht="38.25" x14ac:dyDescent="0.2">
      <c r="A336" s="14" t="s">
        <v>20</v>
      </c>
      <c r="B336" s="14" t="s">
        <v>120</v>
      </c>
      <c r="C336" s="14" t="s">
        <v>22</v>
      </c>
      <c r="D336" s="25" t="s">
        <v>121</v>
      </c>
      <c r="E336" s="14" t="s">
        <v>814</v>
      </c>
      <c r="F336" s="14" t="s">
        <v>123</v>
      </c>
      <c r="G336" s="14" t="s">
        <v>815</v>
      </c>
      <c r="H336" s="14" t="s">
        <v>27</v>
      </c>
      <c r="I336" s="14" t="s">
        <v>28</v>
      </c>
      <c r="J336" s="16">
        <v>1</v>
      </c>
      <c r="K336" s="14" t="s">
        <v>816</v>
      </c>
      <c r="L336" s="14" t="s">
        <v>1536</v>
      </c>
      <c r="M336" s="19"/>
      <c r="N336" s="26" t="s">
        <v>125</v>
      </c>
      <c r="O336" s="16" t="s">
        <v>31</v>
      </c>
      <c r="P336" s="42" t="s">
        <v>822</v>
      </c>
      <c r="Q336" s="18" t="str">
        <f t="shared" ref="Q336:Q399" si="5">CONCATENATE(N336," _ ",O336," _ ",G336," _ ",H336," _ ",I336," _ ",J336," _ ",K336)</f>
        <v>BM CB02 _ A _ Dosage Chromogénique _ Quantitatif _ Automatisée _ 1 _ SYSMEX :
CN 3500</v>
      </c>
      <c r="R336" s="286"/>
    </row>
    <row r="337" spans="1:18" ht="42.75" customHeight="1" x14ac:dyDescent="0.2">
      <c r="A337" s="22" t="s">
        <v>20</v>
      </c>
      <c r="B337" s="22" t="s">
        <v>120</v>
      </c>
      <c r="C337" s="22" t="s">
        <v>22</v>
      </c>
      <c r="D337" s="22" t="s">
        <v>121</v>
      </c>
      <c r="E337" s="22" t="s">
        <v>817</v>
      </c>
      <c r="F337" s="22" t="s">
        <v>123</v>
      </c>
      <c r="G337" s="22" t="s">
        <v>818</v>
      </c>
      <c r="H337" s="22" t="s">
        <v>27</v>
      </c>
      <c r="I337" s="22" t="s">
        <v>28</v>
      </c>
      <c r="J337" s="74">
        <v>1</v>
      </c>
      <c r="K337" s="22" t="s">
        <v>1626</v>
      </c>
      <c r="L337" s="22" t="s">
        <v>1628</v>
      </c>
      <c r="M337" s="276" t="s">
        <v>1632</v>
      </c>
      <c r="N337" s="135" t="s">
        <v>125</v>
      </c>
      <c r="O337" s="74" t="s">
        <v>31</v>
      </c>
      <c r="P337" s="85">
        <v>35</v>
      </c>
      <c r="Q337" s="18" t="str">
        <f t="shared" si="5"/>
        <v>BM CB02 _ A _ Dosage Chronométrique _ Quantitatif _ Automatisée _ 1 _ STARMAX2
Diagnostica STAGO</v>
      </c>
      <c r="R337" s="286"/>
    </row>
    <row r="338" spans="1:18" ht="63.75" x14ac:dyDescent="0.2">
      <c r="A338" s="22" t="s">
        <v>20</v>
      </c>
      <c r="B338" s="22" t="s">
        <v>120</v>
      </c>
      <c r="C338" s="22" t="s">
        <v>22</v>
      </c>
      <c r="D338" s="22" t="s">
        <v>121</v>
      </c>
      <c r="E338" s="22" t="s">
        <v>819</v>
      </c>
      <c r="F338" s="22" t="s">
        <v>123</v>
      </c>
      <c r="G338" s="22" t="s">
        <v>818</v>
      </c>
      <c r="H338" s="22" t="s">
        <v>27</v>
      </c>
      <c r="I338" s="22" t="s">
        <v>28</v>
      </c>
      <c r="J338" s="74">
        <v>1</v>
      </c>
      <c r="K338" s="22" t="s">
        <v>1626</v>
      </c>
      <c r="L338" s="22" t="s">
        <v>1627</v>
      </c>
      <c r="M338" s="276" t="s">
        <v>1632</v>
      </c>
      <c r="N338" s="135" t="s">
        <v>125</v>
      </c>
      <c r="O338" s="74" t="s">
        <v>31</v>
      </c>
      <c r="P338" s="85">
        <v>183</v>
      </c>
      <c r="Q338" s="18" t="str">
        <f t="shared" si="5"/>
        <v>BM CB02 _ A _ Dosage Chronométrique _ Quantitatif _ Automatisée _ 1 _ STARMAX2
Diagnostica STAGO</v>
      </c>
      <c r="R338" s="286"/>
    </row>
    <row r="339" spans="1:18" ht="63.75" x14ac:dyDescent="0.2">
      <c r="A339" s="14" t="s">
        <v>20</v>
      </c>
      <c r="B339" s="19" t="s">
        <v>120</v>
      </c>
      <c r="C339" s="19" t="s">
        <v>22</v>
      </c>
      <c r="D339" s="25" t="s">
        <v>121</v>
      </c>
      <c r="E339" s="14" t="s">
        <v>820</v>
      </c>
      <c r="F339" s="19" t="s">
        <v>123</v>
      </c>
      <c r="G339" s="14" t="s">
        <v>799</v>
      </c>
      <c r="H339" s="14" t="s">
        <v>27</v>
      </c>
      <c r="I339" s="19" t="s">
        <v>28</v>
      </c>
      <c r="J339" s="16">
        <v>2</v>
      </c>
      <c r="K339" s="203" t="s">
        <v>1558</v>
      </c>
      <c r="L339" s="203" t="s">
        <v>1573</v>
      </c>
      <c r="M339" s="203" t="s">
        <v>1560</v>
      </c>
      <c r="N339" s="26" t="s">
        <v>821</v>
      </c>
      <c r="O339" s="16" t="s">
        <v>31</v>
      </c>
      <c r="P339" s="42" t="s">
        <v>822</v>
      </c>
      <c r="Q339" s="18" t="str">
        <f t="shared" si="5"/>
        <v xml:space="preserve">BM CB03 _ A _ Technique Colorimétrique _ Quantitatif _ Automatisée _ 2 _ STAR Max3 Diagnostica STAGO (chu)    </v>
      </c>
      <c r="R339" s="286"/>
    </row>
    <row r="340" spans="1:18" ht="63.75" x14ac:dyDescent="0.2">
      <c r="A340" s="14" t="s">
        <v>20</v>
      </c>
      <c r="B340" s="19" t="s">
        <v>120</v>
      </c>
      <c r="C340" s="19" t="s">
        <v>22</v>
      </c>
      <c r="D340" s="25" t="s">
        <v>121</v>
      </c>
      <c r="E340" s="14" t="s">
        <v>823</v>
      </c>
      <c r="F340" s="19" t="s">
        <v>123</v>
      </c>
      <c r="G340" s="14" t="s">
        <v>799</v>
      </c>
      <c r="H340" s="14" t="s">
        <v>27</v>
      </c>
      <c r="I340" s="19" t="s">
        <v>28</v>
      </c>
      <c r="J340" s="16">
        <v>2</v>
      </c>
      <c r="K340" s="203" t="s">
        <v>1558</v>
      </c>
      <c r="L340" s="203" t="s">
        <v>1574</v>
      </c>
      <c r="M340" s="203" t="s">
        <v>1560</v>
      </c>
      <c r="N340" s="26" t="s">
        <v>821</v>
      </c>
      <c r="O340" s="16" t="s">
        <v>31</v>
      </c>
      <c r="P340" s="42" t="s">
        <v>822</v>
      </c>
      <c r="Q340" s="18" t="str">
        <f t="shared" si="5"/>
        <v xml:space="preserve">BM CB03 _ A _ Technique Colorimétrique _ Quantitatif _ Automatisée _ 2 _ STAR Max3 Diagnostica STAGO (chu)    </v>
      </c>
      <c r="R340" s="286"/>
    </row>
    <row r="341" spans="1:18" ht="63.75" x14ac:dyDescent="0.2">
      <c r="A341" s="14" t="s">
        <v>20</v>
      </c>
      <c r="B341" s="19" t="s">
        <v>120</v>
      </c>
      <c r="C341" s="19" t="s">
        <v>22</v>
      </c>
      <c r="D341" s="25" t="s">
        <v>121</v>
      </c>
      <c r="E341" s="20" t="s">
        <v>824</v>
      </c>
      <c r="F341" s="19" t="s">
        <v>123</v>
      </c>
      <c r="G341" s="14" t="s">
        <v>799</v>
      </c>
      <c r="H341" s="14" t="s">
        <v>27</v>
      </c>
      <c r="I341" s="19" t="s">
        <v>28</v>
      </c>
      <c r="J341" s="16">
        <v>2</v>
      </c>
      <c r="K341" s="203" t="s">
        <v>1558</v>
      </c>
      <c r="L341" s="203" t="s">
        <v>1575</v>
      </c>
      <c r="M341" s="203" t="s">
        <v>1560</v>
      </c>
      <c r="N341" s="26" t="s">
        <v>821</v>
      </c>
      <c r="O341" s="16" t="s">
        <v>31</v>
      </c>
      <c r="P341" s="27">
        <v>4363</v>
      </c>
      <c r="Q341" s="18" t="str">
        <f t="shared" si="5"/>
        <v xml:space="preserve">BM CB03 _ A _ Technique Colorimétrique _ Quantitatif _ Automatisée _ 2 _ STAR Max3 Diagnostica STAGO (chu)    </v>
      </c>
      <c r="R341" s="286"/>
    </row>
    <row r="342" spans="1:18" ht="63.75" x14ac:dyDescent="0.2">
      <c r="A342" s="14" t="s">
        <v>20</v>
      </c>
      <c r="B342" s="19" t="s">
        <v>120</v>
      </c>
      <c r="C342" s="19" t="s">
        <v>22</v>
      </c>
      <c r="D342" s="25" t="s">
        <v>121</v>
      </c>
      <c r="E342" s="14" t="s">
        <v>825</v>
      </c>
      <c r="F342" s="19" t="s">
        <v>123</v>
      </c>
      <c r="G342" s="14" t="s">
        <v>799</v>
      </c>
      <c r="H342" s="14" t="s">
        <v>27</v>
      </c>
      <c r="I342" s="19" t="s">
        <v>28</v>
      </c>
      <c r="J342" s="16">
        <v>2</v>
      </c>
      <c r="K342" s="203" t="s">
        <v>1558</v>
      </c>
      <c r="L342" s="203" t="s">
        <v>1576</v>
      </c>
      <c r="M342" s="203" t="s">
        <v>1560</v>
      </c>
      <c r="N342" s="26" t="s">
        <v>821</v>
      </c>
      <c r="O342" s="16" t="s">
        <v>31</v>
      </c>
      <c r="P342" s="27">
        <v>737</v>
      </c>
      <c r="Q342" s="18" t="str">
        <f t="shared" si="5"/>
        <v xml:space="preserve">BM CB03 _ A _ Technique Colorimétrique _ Quantitatif _ Automatisée _ 2 _ STAR Max3 Diagnostica STAGO (chu)    </v>
      </c>
      <c r="R342" s="286"/>
    </row>
    <row r="343" spans="1:18" ht="63.75" x14ac:dyDescent="0.2">
      <c r="A343" s="14" t="s">
        <v>20</v>
      </c>
      <c r="B343" s="19" t="s">
        <v>120</v>
      </c>
      <c r="C343" s="19" t="s">
        <v>22</v>
      </c>
      <c r="D343" s="25" t="s">
        <v>121</v>
      </c>
      <c r="E343" s="14" t="s">
        <v>826</v>
      </c>
      <c r="F343" s="19" t="s">
        <v>123</v>
      </c>
      <c r="G343" s="14" t="s">
        <v>799</v>
      </c>
      <c r="H343" s="14" t="s">
        <v>27</v>
      </c>
      <c r="I343" s="19" t="s">
        <v>28</v>
      </c>
      <c r="J343" s="16">
        <v>2</v>
      </c>
      <c r="K343" s="203" t="s">
        <v>1558</v>
      </c>
      <c r="L343" s="203" t="s">
        <v>1577</v>
      </c>
      <c r="M343" s="203" t="s">
        <v>1560</v>
      </c>
      <c r="N343" s="26" t="s">
        <v>821</v>
      </c>
      <c r="O343" s="16" t="s">
        <v>31</v>
      </c>
      <c r="P343" s="42" t="s">
        <v>822</v>
      </c>
      <c r="Q343" s="18" t="str">
        <f t="shared" si="5"/>
        <v xml:space="preserve">BM CB03 _ A _ Technique Colorimétrique _ Quantitatif _ Automatisée _ 2 _ STAR Max3 Diagnostica STAGO (chu)    </v>
      </c>
      <c r="R343" s="286"/>
    </row>
    <row r="344" spans="1:18" ht="63.75" x14ac:dyDescent="0.2">
      <c r="A344" s="14" t="s">
        <v>20</v>
      </c>
      <c r="B344" s="19" t="s">
        <v>120</v>
      </c>
      <c r="C344" s="19" t="s">
        <v>22</v>
      </c>
      <c r="D344" s="25" t="s">
        <v>121</v>
      </c>
      <c r="E344" s="14" t="s">
        <v>827</v>
      </c>
      <c r="F344" s="19" t="s">
        <v>123</v>
      </c>
      <c r="G344" s="14" t="s">
        <v>799</v>
      </c>
      <c r="H344" s="14" t="s">
        <v>27</v>
      </c>
      <c r="I344" s="19" t="s">
        <v>28</v>
      </c>
      <c r="J344" s="16">
        <v>2</v>
      </c>
      <c r="K344" s="203" t="s">
        <v>1558</v>
      </c>
      <c r="L344" s="203" t="s">
        <v>1578</v>
      </c>
      <c r="M344" s="203" t="s">
        <v>1560</v>
      </c>
      <c r="N344" s="26" t="s">
        <v>821</v>
      </c>
      <c r="O344" s="16" t="s">
        <v>31</v>
      </c>
      <c r="P344" s="42" t="s">
        <v>822</v>
      </c>
      <c r="Q344" s="18" t="str">
        <f t="shared" si="5"/>
        <v xml:space="preserve">BM CB03 _ A _ Technique Colorimétrique _ Quantitatif _ Automatisée _ 2 _ STAR Max3 Diagnostica STAGO (chu)    </v>
      </c>
      <c r="R344" s="286"/>
    </row>
    <row r="345" spans="1:18" ht="63.75" x14ac:dyDescent="0.2">
      <c r="A345" s="14" t="s">
        <v>20</v>
      </c>
      <c r="B345" s="92" t="s">
        <v>120</v>
      </c>
      <c r="C345" s="92" t="s">
        <v>22</v>
      </c>
      <c r="D345" s="93" t="s">
        <v>121</v>
      </c>
      <c r="E345" s="94" t="s">
        <v>828</v>
      </c>
      <c r="F345" s="92" t="s">
        <v>123</v>
      </c>
      <c r="G345" s="42" t="s">
        <v>829</v>
      </c>
      <c r="H345" s="42" t="s">
        <v>27</v>
      </c>
      <c r="I345" s="92" t="s">
        <v>28</v>
      </c>
      <c r="J345" s="95">
        <v>1</v>
      </c>
      <c r="K345" s="92" t="s">
        <v>1537</v>
      </c>
      <c r="L345" s="42" t="s">
        <v>1538</v>
      </c>
      <c r="M345" s="92"/>
      <c r="N345" s="97" t="s">
        <v>821</v>
      </c>
      <c r="O345" s="95" t="s">
        <v>31</v>
      </c>
      <c r="P345" s="27">
        <v>1683</v>
      </c>
      <c r="Q345" s="18" t="str">
        <f t="shared" si="5"/>
        <v>BM CB03 _ A _ Méthode chronométrique _ Quantitatif _ Automatisée _ 1 _ STAGO :
STARMAX 3</v>
      </c>
      <c r="R345" s="286"/>
    </row>
    <row r="346" spans="1:18" ht="51" x14ac:dyDescent="0.2">
      <c r="A346" s="14" t="s">
        <v>20</v>
      </c>
      <c r="B346" s="92" t="s">
        <v>120</v>
      </c>
      <c r="C346" s="92" t="s">
        <v>22</v>
      </c>
      <c r="D346" s="93" t="s">
        <v>121</v>
      </c>
      <c r="E346" s="42" t="s">
        <v>830</v>
      </c>
      <c r="F346" s="92" t="s">
        <v>123</v>
      </c>
      <c r="G346" s="42" t="s">
        <v>829</v>
      </c>
      <c r="H346" s="42" t="s">
        <v>27</v>
      </c>
      <c r="I346" s="92" t="s">
        <v>28</v>
      </c>
      <c r="J346" s="95">
        <v>1</v>
      </c>
      <c r="K346" s="92" t="s">
        <v>1537</v>
      </c>
      <c r="L346" s="42" t="s">
        <v>831</v>
      </c>
      <c r="M346" s="96"/>
      <c r="N346" s="97" t="s">
        <v>821</v>
      </c>
      <c r="O346" s="95" t="s">
        <v>31</v>
      </c>
      <c r="P346" s="27">
        <v>2090</v>
      </c>
      <c r="Q346" s="18" t="str">
        <f t="shared" si="5"/>
        <v>BM CB03 _ A _ Méthode chronométrique _ Quantitatif _ Automatisée _ 1 _ STAGO :
STARMAX 3</v>
      </c>
      <c r="R346" s="286"/>
    </row>
    <row r="347" spans="1:18" ht="89.25" x14ac:dyDescent="0.2">
      <c r="A347" s="14" t="s">
        <v>20</v>
      </c>
      <c r="B347" s="162" t="s">
        <v>120</v>
      </c>
      <c r="C347" s="162" t="s">
        <v>22</v>
      </c>
      <c r="D347" s="156" t="s">
        <v>121</v>
      </c>
      <c r="E347" s="157" t="s">
        <v>1342</v>
      </c>
      <c r="F347" s="188" t="s">
        <v>123</v>
      </c>
      <c r="G347" s="188" t="s">
        <v>1343</v>
      </c>
      <c r="H347" s="188" t="s">
        <v>1344</v>
      </c>
      <c r="I347" s="188" t="s">
        <v>28</v>
      </c>
      <c r="J347" s="189">
        <v>2</v>
      </c>
      <c r="K347" s="188" t="s">
        <v>1345</v>
      </c>
      <c r="L347" s="188" t="s">
        <v>1346</v>
      </c>
      <c r="M347" s="161" t="s">
        <v>1491</v>
      </c>
      <c r="N347" s="190" t="s">
        <v>1347</v>
      </c>
      <c r="O347" s="191" t="s">
        <v>184</v>
      </c>
      <c r="P347" s="160">
        <v>706</v>
      </c>
      <c r="Q347" s="18" t="str">
        <f t="shared" si="5"/>
        <v>BM CB05 _ B _ Agglutination sur agrégomètre : Photométrie Haute résolution à 740 nm _ Qualitative _ Automatisée _ 2 _ APACT4004
Servibio</v>
      </c>
      <c r="R347" s="286"/>
    </row>
    <row r="348" spans="1:18" ht="63.75" x14ac:dyDescent="0.2">
      <c r="A348" s="14" t="s">
        <v>20</v>
      </c>
      <c r="B348" s="162" t="s">
        <v>120</v>
      </c>
      <c r="C348" s="162" t="s">
        <v>22</v>
      </c>
      <c r="D348" s="156" t="s">
        <v>121</v>
      </c>
      <c r="E348" s="188" t="s">
        <v>1780</v>
      </c>
      <c r="F348" s="188" t="s">
        <v>1776</v>
      </c>
      <c r="G348" s="188" t="s">
        <v>1777</v>
      </c>
      <c r="H348" s="188" t="s">
        <v>1344</v>
      </c>
      <c r="I348" s="188" t="s">
        <v>171</v>
      </c>
      <c r="J348" s="189"/>
      <c r="K348" s="188"/>
      <c r="L348" s="188" t="s">
        <v>1778</v>
      </c>
      <c r="M348" s="161" t="s">
        <v>1779</v>
      </c>
      <c r="N348" s="190" t="s">
        <v>1347</v>
      </c>
      <c r="O348" s="191" t="s">
        <v>31</v>
      </c>
      <c r="P348" s="160">
        <v>138</v>
      </c>
      <c r="Q348" s="18" t="str">
        <f t="shared" si="5"/>
        <v xml:space="preserve">BM CB05 _ A _ Immunodiffusion : test immunologique à flux latéral _ Qualitative _ Manuelle _  _ </v>
      </c>
      <c r="R348" s="286"/>
    </row>
    <row r="349" spans="1:18" ht="38.25" x14ac:dyDescent="0.2">
      <c r="A349" s="14" t="s">
        <v>20</v>
      </c>
      <c r="B349" s="162" t="s">
        <v>120</v>
      </c>
      <c r="C349" s="162" t="s">
        <v>22</v>
      </c>
      <c r="D349" s="156" t="s">
        <v>121</v>
      </c>
      <c r="E349" s="157" t="s">
        <v>1492</v>
      </c>
      <c r="F349" s="188" t="s">
        <v>123</v>
      </c>
      <c r="G349" s="188" t="s">
        <v>1496</v>
      </c>
      <c r="H349" s="188" t="s">
        <v>1344</v>
      </c>
      <c r="I349" s="188" t="s">
        <v>171</v>
      </c>
      <c r="J349" s="189">
        <v>1</v>
      </c>
      <c r="K349" s="188" t="s">
        <v>1493</v>
      </c>
      <c r="L349" s="188" t="s">
        <v>1494</v>
      </c>
      <c r="M349" s="192" t="s">
        <v>1495</v>
      </c>
      <c r="N349" s="190" t="s">
        <v>1347</v>
      </c>
      <c r="O349" s="191" t="s">
        <v>31</v>
      </c>
      <c r="P349" s="160">
        <v>49</v>
      </c>
      <c r="Q349" s="18" t="str">
        <f t="shared" si="5"/>
        <v>BM CB05 _ A _ Méthode Elisa en phase solide _ Qualitative _ Manuelle _ 1 _ lecture des DO sur Biomek 3000 (Beckman coulter)</v>
      </c>
      <c r="R349" s="286"/>
    </row>
    <row r="350" spans="1:18" ht="51" x14ac:dyDescent="0.2">
      <c r="A350" s="14" t="s">
        <v>20</v>
      </c>
      <c r="B350" s="19" t="s">
        <v>120</v>
      </c>
      <c r="C350" s="19" t="s">
        <v>22</v>
      </c>
      <c r="D350" s="25" t="s">
        <v>121</v>
      </c>
      <c r="E350" s="20" t="s">
        <v>832</v>
      </c>
      <c r="F350" s="19" t="s">
        <v>123</v>
      </c>
      <c r="G350" s="14" t="s">
        <v>833</v>
      </c>
      <c r="H350" s="14" t="s">
        <v>27</v>
      </c>
      <c r="I350" s="19" t="s">
        <v>171</v>
      </c>
      <c r="J350" s="16">
        <v>1</v>
      </c>
      <c r="K350" s="19" t="s">
        <v>834</v>
      </c>
      <c r="L350" s="14" t="s">
        <v>835</v>
      </c>
      <c r="M350" s="14"/>
      <c r="N350" s="26" t="s">
        <v>836</v>
      </c>
      <c r="O350" s="16" t="s">
        <v>31</v>
      </c>
      <c r="P350" s="27">
        <v>132</v>
      </c>
      <c r="Q350" s="18" t="str">
        <f t="shared" si="5"/>
        <v>BM CB06 _ A _ Méthode ELISA Chromogénique _ Quantitatif _ Manuelle _ 1 _ lecture des DO sur Biomek 4000 (Beckman coulter)</v>
      </c>
      <c r="R350" s="286"/>
    </row>
    <row r="351" spans="1:18" ht="51" x14ac:dyDescent="0.2">
      <c r="A351" s="14" t="s">
        <v>20</v>
      </c>
      <c r="B351" s="19" t="s">
        <v>120</v>
      </c>
      <c r="C351" s="19" t="s">
        <v>22</v>
      </c>
      <c r="D351" s="25" t="s">
        <v>121</v>
      </c>
      <c r="E351" s="14" t="s">
        <v>837</v>
      </c>
      <c r="F351" s="19" t="s">
        <v>123</v>
      </c>
      <c r="G351" s="14" t="s">
        <v>833</v>
      </c>
      <c r="H351" s="14" t="s">
        <v>27</v>
      </c>
      <c r="I351" s="19" t="s">
        <v>171</v>
      </c>
      <c r="J351" s="16">
        <v>1</v>
      </c>
      <c r="K351" s="19" t="s">
        <v>834</v>
      </c>
      <c r="L351" s="14" t="s">
        <v>838</v>
      </c>
      <c r="M351" s="14"/>
      <c r="N351" s="26" t="s">
        <v>836</v>
      </c>
      <c r="O351" s="16" t="s">
        <v>31</v>
      </c>
      <c r="P351" s="27">
        <v>49</v>
      </c>
      <c r="Q351" s="18" t="str">
        <f t="shared" si="5"/>
        <v>BM CB06 _ A _ Méthode ELISA Chromogénique _ Quantitatif _ Manuelle _ 1 _ lecture des DO sur Biomek 4000 (Beckman coulter)</v>
      </c>
      <c r="R351" s="286"/>
    </row>
    <row r="352" spans="1:18" ht="89.25" x14ac:dyDescent="0.2">
      <c r="A352" s="14" t="s">
        <v>20</v>
      </c>
      <c r="B352" s="162" t="s">
        <v>120</v>
      </c>
      <c r="C352" s="162" t="s">
        <v>22</v>
      </c>
      <c r="D352" s="156" t="s">
        <v>121</v>
      </c>
      <c r="E352" s="156" t="s">
        <v>1348</v>
      </c>
      <c r="F352" s="188" t="s">
        <v>123</v>
      </c>
      <c r="G352" s="188" t="s">
        <v>1343</v>
      </c>
      <c r="H352" s="188" t="s">
        <v>1341</v>
      </c>
      <c r="I352" s="188" t="s">
        <v>28</v>
      </c>
      <c r="J352" s="189">
        <v>2</v>
      </c>
      <c r="K352" s="188" t="s">
        <v>1345</v>
      </c>
      <c r="L352" s="233" t="s">
        <v>1507</v>
      </c>
      <c r="M352" s="161" t="s">
        <v>1491</v>
      </c>
      <c r="N352" s="190" t="s">
        <v>836</v>
      </c>
      <c r="O352" s="191" t="s">
        <v>184</v>
      </c>
      <c r="P352" s="160">
        <v>492</v>
      </c>
      <c r="Q352" s="18" t="str">
        <f t="shared" si="5"/>
        <v>BM CB06 _ B _ Agglutination sur agrégomètre : Photométrie Haute résolution à 740 nm _ Quantitative _ Automatisée _ 2 _ APACT4004
Servibio</v>
      </c>
      <c r="R352" s="286"/>
    </row>
    <row r="353" spans="1:18" ht="89.25" x14ac:dyDescent="0.2">
      <c r="A353" s="14" t="s">
        <v>20</v>
      </c>
      <c r="B353" s="162" t="s">
        <v>120</v>
      </c>
      <c r="C353" s="162" t="s">
        <v>22</v>
      </c>
      <c r="D353" s="156" t="s">
        <v>121</v>
      </c>
      <c r="E353" s="156" t="s">
        <v>1349</v>
      </c>
      <c r="F353" s="188" t="s">
        <v>123</v>
      </c>
      <c r="G353" s="188" t="s">
        <v>1343</v>
      </c>
      <c r="H353" s="188" t="s">
        <v>1341</v>
      </c>
      <c r="I353" s="188" t="s">
        <v>28</v>
      </c>
      <c r="J353" s="189">
        <v>2</v>
      </c>
      <c r="K353" s="188" t="s">
        <v>1345</v>
      </c>
      <c r="L353" s="233" t="s">
        <v>1507</v>
      </c>
      <c r="M353" s="161" t="s">
        <v>1491</v>
      </c>
      <c r="N353" s="190" t="s">
        <v>836</v>
      </c>
      <c r="O353" s="191" t="s">
        <v>184</v>
      </c>
      <c r="P353" s="160">
        <v>505</v>
      </c>
      <c r="Q353" s="18" t="str">
        <f t="shared" si="5"/>
        <v>BM CB06 _ B _ Agglutination sur agrégomètre : Photométrie Haute résolution à 740 nm _ Quantitative _ Automatisée _ 2 _ APACT4004
Servibio</v>
      </c>
      <c r="R353" s="286"/>
    </row>
    <row r="354" spans="1:18" ht="89.25" x14ac:dyDescent="0.2">
      <c r="A354" s="14" t="s">
        <v>20</v>
      </c>
      <c r="B354" s="162" t="s">
        <v>120</v>
      </c>
      <c r="C354" s="162" t="s">
        <v>22</v>
      </c>
      <c r="D354" s="156" t="s">
        <v>121</v>
      </c>
      <c r="E354" s="156" t="s">
        <v>1350</v>
      </c>
      <c r="F354" s="188" t="s">
        <v>123</v>
      </c>
      <c r="G354" s="188" t="s">
        <v>1343</v>
      </c>
      <c r="H354" s="188" t="s">
        <v>1341</v>
      </c>
      <c r="I354" s="188" t="s">
        <v>28</v>
      </c>
      <c r="J354" s="189">
        <v>2</v>
      </c>
      <c r="K354" s="188" t="s">
        <v>1345</v>
      </c>
      <c r="L354" s="233" t="s">
        <v>1507</v>
      </c>
      <c r="M354" s="161" t="s">
        <v>1491</v>
      </c>
      <c r="N354" s="190" t="s">
        <v>836</v>
      </c>
      <c r="O354" s="191" t="s">
        <v>184</v>
      </c>
      <c r="P354" s="160">
        <v>462</v>
      </c>
      <c r="Q354" s="18" t="str">
        <f t="shared" si="5"/>
        <v>BM CB06 _ B _ Agglutination sur agrégomètre : Photométrie Haute résolution à 740 nm _ Quantitative _ Automatisée _ 2 _ APACT4004
Servibio</v>
      </c>
      <c r="R354" s="286"/>
    </row>
    <row r="355" spans="1:18" ht="89.25" x14ac:dyDescent="0.2">
      <c r="A355" s="14" t="s">
        <v>20</v>
      </c>
      <c r="B355" s="162" t="s">
        <v>120</v>
      </c>
      <c r="C355" s="162" t="s">
        <v>22</v>
      </c>
      <c r="D355" s="156" t="s">
        <v>121</v>
      </c>
      <c r="E355" s="157" t="s">
        <v>1351</v>
      </c>
      <c r="F355" s="188" t="s">
        <v>123</v>
      </c>
      <c r="G355" s="188" t="s">
        <v>1343</v>
      </c>
      <c r="H355" s="188" t="s">
        <v>1341</v>
      </c>
      <c r="I355" s="188" t="s">
        <v>28</v>
      </c>
      <c r="J355" s="189">
        <v>2</v>
      </c>
      <c r="K355" s="188" t="s">
        <v>1345</v>
      </c>
      <c r="L355" s="233" t="s">
        <v>1507</v>
      </c>
      <c r="M355" s="161" t="s">
        <v>1491</v>
      </c>
      <c r="N355" s="190" t="s">
        <v>836</v>
      </c>
      <c r="O355" s="191" t="s">
        <v>184</v>
      </c>
      <c r="P355" s="160">
        <v>497</v>
      </c>
      <c r="Q355" s="18" t="str">
        <f t="shared" si="5"/>
        <v>BM CB06 _ B _ Agglutination sur agrégomètre : Photométrie Haute résolution à 740 nm _ Quantitative _ Automatisée _ 2 _ APACT4004
Servibio</v>
      </c>
      <c r="R355" s="286"/>
    </row>
    <row r="356" spans="1:18" ht="89.25" x14ac:dyDescent="0.2">
      <c r="A356" s="14" t="s">
        <v>20</v>
      </c>
      <c r="B356" s="162" t="s">
        <v>120</v>
      </c>
      <c r="C356" s="162" t="s">
        <v>22</v>
      </c>
      <c r="D356" s="156" t="s">
        <v>121</v>
      </c>
      <c r="E356" s="157" t="s">
        <v>1352</v>
      </c>
      <c r="F356" s="188" t="s">
        <v>123</v>
      </c>
      <c r="G356" s="188" t="s">
        <v>1343</v>
      </c>
      <c r="H356" s="188" t="s">
        <v>1341</v>
      </c>
      <c r="I356" s="188" t="s">
        <v>28</v>
      </c>
      <c r="J356" s="189">
        <v>2</v>
      </c>
      <c r="K356" s="188" t="s">
        <v>1345</v>
      </c>
      <c r="L356" s="233" t="s">
        <v>1507</v>
      </c>
      <c r="M356" s="161" t="s">
        <v>1491</v>
      </c>
      <c r="N356" s="190" t="s">
        <v>836</v>
      </c>
      <c r="O356" s="191" t="s">
        <v>184</v>
      </c>
      <c r="P356" s="160">
        <v>701</v>
      </c>
      <c r="Q356" s="18" t="str">
        <f t="shared" si="5"/>
        <v>BM CB06 _ B _ Agglutination sur agrégomètre : Photométrie Haute résolution à 740 nm _ Quantitative _ Automatisée _ 2 _ APACT4004
Servibio</v>
      </c>
      <c r="R356" s="286"/>
    </row>
    <row r="357" spans="1:18" ht="51" x14ac:dyDescent="0.2">
      <c r="A357" s="14" t="s">
        <v>20</v>
      </c>
      <c r="B357" s="14" t="s">
        <v>839</v>
      </c>
      <c r="C357" s="14" t="s">
        <v>69</v>
      </c>
      <c r="D357" s="14" t="s">
        <v>840</v>
      </c>
      <c r="E357" s="14" t="s">
        <v>841</v>
      </c>
      <c r="F357" s="14" t="s">
        <v>25</v>
      </c>
      <c r="G357" s="14" t="s">
        <v>842</v>
      </c>
      <c r="H357" s="14" t="s">
        <v>27</v>
      </c>
      <c r="I357" s="14" t="s">
        <v>28</v>
      </c>
      <c r="J357" s="16">
        <v>1</v>
      </c>
      <c r="K357" s="14" t="s">
        <v>843</v>
      </c>
      <c r="L357" s="14" t="s">
        <v>844</v>
      </c>
      <c r="M357" s="29"/>
      <c r="N357" s="26" t="s">
        <v>845</v>
      </c>
      <c r="O357" s="16" t="s">
        <v>31</v>
      </c>
      <c r="P357" s="98">
        <v>9064</v>
      </c>
      <c r="Q357" s="18" t="str">
        <f t="shared" si="5"/>
        <v>BM AB01 _ A _ FEIA _ Quantitatif _ Automatisée _ 1 _ UNICAP 250, Phadia</v>
      </c>
      <c r="R357" s="286"/>
    </row>
    <row r="358" spans="1:18" ht="25.5" x14ac:dyDescent="0.2">
      <c r="A358" s="14" t="s">
        <v>20</v>
      </c>
      <c r="B358" s="14" t="s">
        <v>839</v>
      </c>
      <c r="C358" s="14" t="s">
        <v>69</v>
      </c>
      <c r="D358" s="14" t="s">
        <v>840</v>
      </c>
      <c r="E358" s="20" t="s">
        <v>846</v>
      </c>
      <c r="F358" s="14" t="s">
        <v>25</v>
      </c>
      <c r="G358" s="14" t="s">
        <v>842</v>
      </c>
      <c r="H358" s="14" t="s">
        <v>27</v>
      </c>
      <c r="I358" s="14" t="s">
        <v>28</v>
      </c>
      <c r="J358" s="16">
        <v>1</v>
      </c>
      <c r="K358" s="14" t="s">
        <v>843</v>
      </c>
      <c r="L358" s="14" t="s">
        <v>847</v>
      </c>
      <c r="M358" s="29"/>
      <c r="N358" s="26" t="s">
        <v>845</v>
      </c>
      <c r="O358" s="16" t="s">
        <v>31</v>
      </c>
      <c r="P358" s="98">
        <v>2238</v>
      </c>
      <c r="Q358" s="18" t="str">
        <f t="shared" si="5"/>
        <v>BM AB01 _ A _ FEIA _ Quantitatif _ Automatisée _ 1 _ UNICAP 250, Phadia</v>
      </c>
      <c r="R358" s="286"/>
    </row>
    <row r="359" spans="1:18" ht="38.25" x14ac:dyDescent="0.2">
      <c r="A359" s="14" t="s">
        <v>20</v>
      </c>
      <c r="B359" s="14" t="s">
        <v>839</v>
      </c>
      <c r="C359" s="14" t="s">
        <v>69</v>
      </c>
      <c r="D359" s="14" t="s">
        <v>840</v>
      </c>
      <c r="E359" s="20" t="s">
        <v>848</v>
      </c>
      <c r="F359" s="14" t="s">
        <v>25</v>
      </c>
      <c r="G359" s="14" t="s">
        <v>849</v>
      </c>
      <c r="H359" s="14" t="s">
        <v>27</v>
      </c>
      <c r="I359" s="14" t="s">
        <v>28</v>
      </c>
      <c r="J359" s="16">
        <v>1</v>
      </c>
      <c r="K359" s="14" t="s">
        <v>850</v>
      </c>
      <c r="L359" s="14" t="s">
        <v>851</v>
      </c>
      <c r="M359" s="29"/>
      <c r="N359" s="26" t="s">
        <v>852</v>
      </c>
      <c r="O359" s="16" t="s">
        <v>31</v>
      </c>
      <c r="P359" s="98">
        <v>830</v>
      </c>
      <c r="Q359" s="18" t="str">
        <f t="shared" si="5"/>
        <v>BM AB03 _ A _ Enzymatique et Immuno-enzymatique _ Quantitatif _ Automatisée _ 1 _ UNICAP 250</v>
      </c>
      <c r="R359" s="286"/>
    </row>
    <row r="360" spans="1:18" ht="38.25" x14ac:dyDescent="0.2">
      <c r="A360" s="14" t="s">
        <v>20</v>
      </c>
      <c r="B360" s="14" t="s">
        <v>839</v>
      </c>
      <c r="C360" s="14" t="s">
        <v>69</v>
      </c>
      <c r="D360" s="14" t="s">
        <v>853</v>
      </c>
      <c r="E360" s="14" t="s">
        <v>854</v>
      </c>
      <c r="F360" s="14" t="s">
        <v>25</v>
      </c>
      <c r="G360" s="14" t="s">
        <v>855</v>
      </c>
      <c r="H360" s="14" t="s">
        <v>170</v>
      </c>
      <c r="I360" s="14" t="s">
        <v>28</v>
      </c>
      <c r="J360" s="99">
        <v>2</v>
      </c>
      <c r="K360" s="14" t="s">
        <v>856</v>
      </c>
      <c r="L360" s="14" t="s">
        <v>857</v>
      </c>
      <c r="M360" s="14"/>
      <c r="N360" s="26" t="s">
        <v>858</v>
      </c>
      <c r="O360" s="16" t="s">
        <v>31</v>
      </c>
      <c r="P360" s="100">
        <v>1227</v>
      </c>
      <c r="Q360" s="18" t="str">
        <f t="shared" si="5"/>
        <v>BM AI01 _ A _ Immunodot _ Qualitatif _ Automatisée _ 2 _ EuroblotMaster
EuroblotOne</v>
      </c>
      <c r="R360" s="286"/>
    </row>
    <row r="361" spans="1:18" ht="38.25" x14ac:dyDescent="0.2">
      <c r="A361" s="14" t="s">
        <v>20</v>
      </c>
      <c r="B361" s="14" t="s">
        <v>839</v>
      </c>
      <c r="C361" s="14" t="s">
        <v>69</v>
      </c>
      <c r="D361" s="14" t="s">
        <v>853</v>
      </c>
      <c r="E361" s="14" t="s">
        <v>859</v>
      </c>
      <c r="F361" s="14" t="s">
        <v>25</v>
      </c>
      <c r="G361" s="14" t="s">
        <v>860</v>
      </c>
      <c r="H361" s="14" t="s">
        <v>27</v>
      </c>
      <c r="I361" s="14" t="s">
        <v>28</v>
      </c>
      <c r="J361" s="16">
        <v>1</v>
      </c>
      <c r="K361" s="14" t="s">
        <v>861</v>
      </c>
      <c r="L361" s="14" t="s">
        <v>862</v>
      </c>
      <c r="M361" s="29"/>
      <c r="N361" s="26" t="s">
        <v>858</v>
      </c>
      <c r="O361" s="16" t="s">
        <v>31</v>
      </c>
      <c r="P361" s="101">
        <f>552+3274</f>
        <v>3826</v>
      </c>
      <c r="Q361" s="18" t="str">
        <f t="shared" si="5"/>
        <v>BM AI01 _ A _ ELISA _ Quantitatif _ Automatisée _ 1 _ EVOLIS, Biorad</v>
      </c>
      <c r="R361" s="286"/>
    </row>
    <row r="362" spans="1:18" ht="38.25" x14ac:dyDescent="0.2">
      <c r="A362" s="14" t="s">
        <v>20</v>
      </c>
      <c r="B362" s="14" t="s">
        <v>839</v>
      </c>
      <c r="C362" s="14" t="s">
        <v>69</v>
      </c>
      <c r="D362" s="14" t="s">
        <v>853</v>
      </c>
      <c r="E362" s="14" t="s">
        <v>863</v>
      </c>
      <c r="F362" s="14" t="s">
        <v>25</v>
      </c>
      <c r="G362" s="14" t="s">
        <v>842</v>
      </c>
      <c r="H362" s="14" t="s">
        <v>27</v>
      </c>
      <c r="I362" s="14" t="s">
        <v>28</v>
      </c>
      <c r="J362" s="102">
        <v>2</v>
      </c>
      <c r="K362" s="22" t="s">
        <v>864</v>
      </c>
      <c r="L362" s="22" t="s">
        <v>1539</v>
      </c>
      <c r="M362" s="29"/>
      <c r="N362" s="26" t="s">
        <v>858</v>
      </c>
      <c r="O362" s="16" t="s">
        <v>31</v>
      </c>
      <c r="P362" s="100">
        <f>1617+399</f>
        <v>2016</v>
      </c>
      <c r="Q362" s="18" t="str">
        <f t="shared" si="5"/>
        <v>BM AI01 _ A _ FEIA _ Quantitatif _ Automatisée _ 2 _ UNICAP 250, Phadia-Thermo Fischer</v>
      </c>
      <c r="R362" s="286"/>
    </row>
    <row r="363" spans="1:18" ht="38.25" x14ac:dyDescent="0.2">
      <c r="A363" s="14" t="s">
        <v>20</v>
      </c>
      <c r="B363" s="14" t="s">
        <v>839</v>
      </c>
      <c r="C363" s="14" t="s">
        <v>69</v>
      </c>
      <c r="D363" s="14" t="s">
        <v>853</v>
      </c>
      <c r="E363" s="14" t="s">
        <v>865</v>
      </c>
      <c r="F363" s="14" t="s">
        <v>25</v>
      </c>
      <c r="G363" s="14" t="s">
        <v>860</v>
      </c>
      <c r="H363" s="14" t="s">
        <v>27</v>
      </c>
      <c r="I363" s="14" t="s">
        <v>28</v>
      </c>
      <c r="J363" s="16">
        <v>1</v>
      </c>
      <c r="K363" s="14" t="s">
        <v>861</v>
      </c>
      <c r="L363" s="14" t="s">
        <v>866</v>
      </c>
      <c r="M363" s="29"/>
      <c r="N363" s="26" t="s">
        <v>858</v>
      </c>
      <c r="O363" s="16" t="s">
        <v>31</v>
      </c>
      <c r="P363" s="100">
        <f>183+1425</f>
        <v>1608</v>
      </c>
      <c r="Q363" s="18" t="str">
        <f t="shared" si="5"/>
        <v>BM AI01 _ A _ ELISA _ Quantitatif _ Automatisée _ 1 _ EVOLIS, Biorad</v>
      </c>
      <c r="R363" s="286"/>
    </row>
    <row r="364" spans="1:18" ht="38.25" x14ac:dyDescent="0.2">
      <c r="A364" s="14" t="s">
        <v>20</v>
      </c>
      <c r="B364" s="14" t="s">
        <v>839</v>
      </c>
      <c r="C364" s="14" t="s">
        <v>69</v>
      </c>
      <c r="D364" s="14" t="s">
        <v>853</v>
      </c>
      <c r="E364" s="14" t="s">
        <v>867</v>
      </c>
      <c r="F364" s="14" t="s">
        <v>25</v>
      </c>
      <c r="G364" s="14" t="s">
        <v>842</v>
      </c>
      <c r="H364" s="14" t="s">
        <v>27</v>
      </c>
      <c r="I364" s="14" t="s">
        <v>28</v>
      </c>
      <c r="J364" s="102">
        <v>2</v>
      </c>
      <c r="K364" s="22" t="s">
        <v>864</v>
      </c>
      <c r="L364" s="22" t="s">
        <v>1540</v>
      </c>
      <c r="M364" s="29"/>
      <c r="N364" s="26" t="s">
        <v>858</v>
      </c>
      <c r="O364" s="16" t="s">
        <v>31</v>
      </c>
      <c r="P364" s="100">
        <f>1164+167</f>
        <v>1331</v>
      </c>
      <c r="Q364" s="18" t="str">
        <f t="shared" si="5"/>
        <v>BM AI01 _ A _ FEIA _ Quantitatif _ Automatisée _ 2 _ UNICAP 250, Phadia-Thermo Fischer</v>
      </c>
      <c r="R364" s="286"/>
    </row>
    <row r="365" spans="1:18" ht="51" x14ac:dyDescent="0.2">
      <c r="A365" s="14" t="s">
        <v>20</v>
      </c>
      <c r="B365" s="14" t="s">
        <v>839</v>
      </c>
      <c r="C365" s="14" t="s">
        <v>69</v>
      </c>
      <c r="D365" s="14" t="s">
        <v>853</v>
      </c>
      <c r="E365" s="14" t="s">
        <v>868</v>
      </c>
      <c r="F365" s="14" t="s">
        <v>25</v>
      </c>
      <c r="G365" s="14" t="s">
        <v>842</v>
      </c>
      <c r="H365" s="14" t="s">
        <v>27</v>
      </c>
      <c r="I365" s="14" t="s">
        <v>28</v>
      </c>
      <c r="J365" s="102">
        <v>2</v>
      </c>
      <c r="K365" s="22" t="s">
        <v>864</v>
      </c>
      <c r="L365" s="22" t="s">
        <v>1541</v>
      </c>
      <c r="M365" s="29"/>
      <c r="N365" s="26" t="s">
        <v>858</v>
      </c>
      <c r="O365" s="16" t="s">
        <v>31</v>
      </c>
      <c r="P365" s="100">
        <f>1332+12</f>
        <v>1344</v>
      </c>
      <c r="Q365" s="18" t="str">
        <f t="shared" si="5"/>
        <v>BM AI01 _ A _ FEIA _ Quantitatif _ Automatisée _ 2 _ UNICAP 250, Phadia-Thermo Fischer</v>
      </c>
      <c r="R365" s="286"/>
    </row>
    <row r="366" spans="1:18" ht="63.75" x14ac:dyDescent="0.2">
      <c r="A366" s="14" t="s">
        <v>20</v>
      </c>
      <c r="B366" s="14" t="s">
        <v>839</v>
      </c>
      <c r="C366" s="14" t="s">
        <v>69</v>
      </c>
      <c r="D366" s="14" t="s">
        <v>853</v>
      </c>
      <c r="E366" s="14" t="s">
        <v>869</v>
      </c>
      <c r="F366" s="14" t="s">
        <v>25</v>
      </c>
      <c r="G366" s="14" t="s">
        <v>870</v>
      </c>
      <c r="H366" s="14" t="s">
        <v>27</v>
      </c>
      <c r="I366" s="14" t="s">
        <v>28</v>
      </c>
      <c r="J366" s="102">
        <v>2</v>
      </c>
      <c r="K366" s="22" t="s">
        <v>871</v>
      </c>
      <c r="L366" s="22" t="s">
        <v>1542</v>
      </c>
      <c r="M366" s="29"/>
      <c r="N366" s="26" t="s">
        <v>858</v>
      </c>
      <c r="O366" s="16" t="s">
        <v>31</v>
      </c>
      <c r="P366" s="100">
        <f>28+2</f>
        <v>30</v>
      </c>
      <c r="Q366" s="18" t="str">
        <f t="shared" si="5"/>
        <v>BM AI01 _ A _ Chimioluminescence
et
FEIA _ Quantitatif _ Automatisée _ 2 _ BIOFLASH, Inova
et
UNICAP 250, Phadia-Thermo Fischer</v>
      </c>
      <c r="R366" s="286"/>
    </row>
    <row r="367" spans="1:18" ht="38.25" x14ac:dyDescent="0.2">
      <c r="A367" s="14" t="s">
        <v>20</v>
      </c>
      <c r="B367" s="14" t="s">
        <v>839</v>
      </c>
      <c r="C367" s="14" t="s">
        <v>69</v>
      </c>
      <c r="D367" s="14" t="s">
        <v>853</v>
      </c>
      <c r="E367" s="14" t="s">
        <v>872</v>
      </c>
      <c r="F367" s="14" t="s">
        <v>25</v>
      </c>
      <c r="G367" s="14" t="s">
        <v>842</v>
      </c>
      <c r="H367" s="14" t="s">
        <v>27</v>
      </c>
      <c r="I367" s="14" t="s">
        <v>28</v>
      </c>
      <c r="J367" s="102">
        <v>2</v>
      </c>
      <c r="K367" s="22" t="s">
        <v>864</v>
      </c>
      <c r="L367" s="22" t="s">
        <v>1543</v>
      </c>
      <c r="M367" s="29"/>
      <c r="N367" s="26" t="s">
        <v>858</v>
      </c>
      <c r="O367" s="16" t="s">
        <v>31</v>
      </c>
      <c r="P367" s="100">
        <f>1163+167</f>
        <v>1330</v>
      </c>
      <c r="Q367" s="18" t="str">
        <f t="shared" si="5"/>
        <v>BM AI01 _ A _ FEIA _ Quantitatif _ Automatisée _ 2 _ UNICAP 250, Phadia-Thermo Fischer</v>
      </c>
      <c r="R367" s="286"/>
    </row>
    <row r="368" spans="1:18" ht="38.25" x14ac:dyDescent="0.2">
      <c r="A368" s="14" t="s">
        <v>20</v>
      </c>
      <c r="B368" s="14" t="s">
        <v>839</v>
      </c>
      <c r="C368" s="14" t="s">
        <v>69</v>
      </c>
      <c r="D368" s="14" t="s">
        <v>853</v>
      </c>
      <c r="E368" s="14" t="s">
        <v>873</v>
      </c>
      <c r="F368" s="14" t="s">
        <v>25</v>
      </c>
      <c r="G368" s="14" t="s">
        <v>842</v>
      </c>
      <c r="H368" s="14" t="s">
        <v>27</v>
      </c>
      <c r="I368" s="14" t="s">
        <v>28</v>
      </c>
      <c r="J368" s="102">
        <v>2</v>
      </c>
      <c r="K368" s="22" t="s">
        <v>874</v>
      </c>
      <c r="L368" s="22" t="s">
        <v>1544</v>
      </c>
      <c r="M368" s="29"/>
      <c r="N368" s="26" t="s">
        <v>858</v>
      </c>
      <c r="O368" s="16" t="s">
        <v>31</v>
      </c>
      <c r="P368" s="100">
        <f>1289+77</f>
        <v>1366</v>
      </c>
      <c r="Q368" s="18" t="str">
        <f t="shared" si="5"/>
        <v>BM AI01 _ A _ FEIA _ Quantitatif _ Automatisée _ 2 _ UNICAP 250, Phadia- Thermo Fischer</v>
      </c>
      <c r="R368" s="286"/>
    </row>
    <row r="369" spans="1:18" ht="38.25" x14ac:dyDescent="0.2">
      <c r="A369" s="14" t="s">
        <v>20</v>
      </c>
      <c r="B369" s="14" t="s">
        <v>839</v>
      </c>
      <c r="C369" s="14" t="s">
        <v>69</v>
      </c>
      <c r="D369" s="14" t="s">
        <v>853</v>
      </c>
      <c r="E369" s="14" t="s">
        <v>875</v>
      </c>
      <c r="F369" s="14" t="s">
        <v>25</v>
      </c>
      <c r="G369" s="14" t="s">
        <v>842</v>
      </c>
      <c r="H369" s="14" t="s">
        <v>27</v>
      </c>
      <c r="I369" s="14" t="s">
        <v>28</v>
      </c>
      <c r="J369" s="102">
        <v>2</v>
      </c>
      <c r="K369" s="22" t="s">
        <v>864</v>
      </c>
      <c r="L369" s="22" t="s">
        <v>1545</v>
      </c>
      <c r="M369" s="29"/>
      <c r="N369" s="26" t="s">
        <v>858</v>
      </c>
      <c r="O369" s="16" t="s">
        <v>31</v>
      </c>
      <c r="P369" s="100">
        <f>1788+408</f>
        <v>2196</v>
      </c>
      <c r="Q369" s="18" t="str">
        <f t="shared" si="5"/>
        <v>BM AI01 _ A _ FEIA _ Quantitatif _ Automatisée _ 2 _ UNICAP 250, Phadia-Thermo Fischer</v>
      </c>
      <c r="R369" s="286"/>
    </row>
    <row r="370" spans="1:18" ht="63.75" x14ac:dyDescent="0.2">
      <c r="A370" s="14" t="s">
        <v>20</v>
      </c>
      <c r="B370" s="14" t="s">
        <v>839</v>
      </c>
      <c r="C370" s="14" t="s">
        <v>69</v>
      </c>
      <c r="D370" s="14" t="s">
        <v>853</v>
      </c>
      <c r="E370" s="14" t="s">
        <v>876</v>
      </c>
      <c r="F370" s="14" t="s">
        <v>25</v>
      </c>
      <c r="G370" s="14" t="s">
        <v>870</v>
      </c>
      <c r="H370" s="14" t="s">
        <v>27</v>
      </c>
      <c r="I370" s="14" t="s">
        <v>28</v>
      </c>
      <c r="J370" s="102">
        <v>2</v>
      </c>
      <c r="K370" s="22" t="s">
        <v>871</v>
      </c>
      <c r="L370" s="22" t="s">
        <v>1546</v>
      </c>
      <c r="M370" s="29"/>
      <c r="N370" s="26" t="s">
        <v>858</v>
      </c>
      <c r="O370" s="16" t="s">
        <v>31</v>
      </c>
      <c r="P370" s="100">
        <f>2490+587</f>
        <v>3077</v>
      </c>
      <c r="Q370" s="18" t="str">
        <f t="shared" si="5"/>
        <v>BM AI01 _ A _ Chimioluminescence
et
FEIA _ Quantitatif _ Automatisée _ 2 _ BIOFLASH, Inova
et
UNICAP 250, Phadia-Thermo Fischer</v>
      </c>
      <c r="R370" s="286"/>
    </row>
    <row r="371" spans="1:18" ht="38.25" x14ac:dyDescent="0.2">
      <c r="A371" s="14" t="s">
        <v>20</v>
      </c>
      <c r="B371" s="14" t="s">
        <v>839</v>
      </c>
      <c r="C371" s="14" t="s">
        <v>69</v>
      </c>
      <c r="D371" s="14" t="s">
        <v>853</v>
      </c>
      <c r="E371" s="20" t="s">
        <v>877</v>
      </c>
      <c r="F371" s="14" t="s">
        <v>25</v>
      </c>
      <c r="G371" s="14" t="s">
        <v>878</v>
      </c>
      <c r="H371" s="14" t="s">
        <v>170</v>
      </c>
      <c r="I371" s="14" t="s">
        <v>182</v>
      </c>
      <c r="J371" s="16">
        <v>2</v>
      </c>
      <c r="K371" s="14" t="s">
        <v>879</v>
      </c>
      <c r="L371" s="14" t="s">
        <v>880</v>
      </c>
      <c r="M371" s="29"/>
      <c r="N371" s="26" t="s">
        <v>858</v>
      </c>
      <c r="O371" s="16" t="s">
        <v>184</v>
      </c>
      <c r="P371" s="100">
        <f>6126+1488</f>
        <v>7614</v>
      </c>
      <c r="Q371" s="18" t="str">
        <f t="shared" si="5"/>
        <v>BM AI01 _ B _ Immunofluorescence Indirecte _ Qualitatif _ Semi-automatisée _ 2 _ PhD Biorad</v>
      </c>
      <c r="R371" s="286"/>
    </row>
    <row r="372" spans="1:18" ht="38.25" x14ac:dyDescent="0.2">
      <c r="A372" s="14" t="s">
        <v>20</v>
      </c>
      <c r="B372" s="14" t="s">
        <v>839</v>
      </c>
      <c r="C372" s="14" t="s">
        <v>69</v>
      </c>
      <c r="D372" s="14" t="s">
        <v>853</v>
      </c>
      <c r="E372" s="14" t="s">
        <v>881</v>
      </c>
      <c r="F372" s="14" t="s">
        <v>25</v>
      </c>
      <c r="G372" s="14" t="s">
        <v>860</v>
      </c>
      <c r="H372" s="14" t="s">
        <v>27</v>
      </c>
      <c r="I372" s="14" t="s">
        <v>28</v>
      </c>
      <c r="J372" s="16">
        <v>1</v>
      </c>
      <c r="K372" s="14" t="s">
        <v>861</v>
      </c>
      <c r="L372" s="14" t="s">
        <v>882</v>
      </c>
      <c r="M372" s="29"/>
      <c r="N372" s="26" t="s">
        <v>858</v>
      </c>
      <c r="O372" s="16" t="s">
        <v>31</v>
      </c>
      <c r="P372" s="100">
        <f>537+3178</f>
        <v>3715</v>
      </c>
      <c r="Q372" s="18" t="str">
        <f t="shared" si="5"/>
        <v>BM AI01 _ A _ ELISA _ Quantitatif _ Automatisée _ 1 _ EVOLIS, Biorad</v>
      </c>
      <c r="R372" s="286"/>
    </row>
    <row r="373" spans="1:18" ht="38.25" x14ac:dyDescent="0.2">
      <c r="A373" s="14" t="s">
        <v>20</v>
      </c>
      <c r="B373" s="14" t="s">
        <v>839</v>
      </c>
      <c r="C373" s="14" t="s">
        <v>69</v>
      </c>
      <c r="D373" s="14" t="s">
        <v>853</v>
      </c>
      <c r="E373" s="14" t="s">
        <v>883</v>
      </c>
      <c r="F373" s="14" t="s">
        <v>25</v>
      </c>
      <c r="G373" s="14" t="s">
        <v>842</v>
      </c>
      <c r="H373" s="14" t="s">
        <v>27</v>
      </c>
      <c r="I373" s="14" t="s">
        <v>28</v>
      </c>
      <c r="J373" s="102">
        <v>2</v>
      </c>
      <c r="K373" s="22" t="s">
        <v>864</v>
      </c>
      <c r="L373" s="22" t="s">
        <v>1547</v>
      </c>
      <c r="M373" s="29"/>
      <c r="N373" s="26" t="s">
        <v>858</v>
      </c>
      <c r="O373" s="16" t="s">
        <v>31</v>
      </c>
      <c r="P373" s="100">
        <f>1029+57</f>
        <v>1086</v>
      </c>
      <c r="Q373" s="18" t="str">
        <f t="shared" si="5"/>
        <v>BM AI01 _ A _ FEIA _ Quantitatif _ Automatisée _ 2 _ UNICAP 250, Phadia-Thermo Fischer</v>
      </c>
      <c r="R373" s="286"/>
    </row>
    <row r="374" spans="1:18" ht="38.25" x14ac:dyDescent="0.2">
      <c r="A374" s="14" t="s">
        <v>20</v>
      </c>
      <c r="B374" s="14" t="s">
        <v>839</v>
      </c>
      <c r="C374" s="14" t="s">
        <v>69</v>
      </c>
      <c r="D374" s="14" t="s">
        <v>853</v>
      </c>
      <c r="E374" s="14" t="s">
        <v>884</v>
      </c>
      <c r="F374" s="14" t="s">
        <v>25</v>
      </c>
      <c r="G374" s="14" t="s">
        <v>860</v>
      </c>
      <c r="H374" s="14" t="s">
        <v>27</v>
      </c>
      <c r="I374" s="14" t="s">
        <v>28</v>
      </c>
      <c r="J374" s="16">
        <v>1</v>
      </c>
      <c r="K374" s="14" t="s">
        <v>861</v>
      </c>
      <c r="L374" s="14" t="s">
        <v>885</v>
      </c>
      <c r="M374" s="29"/>
      <c r="N374" s="26" t="s">
        <v>858</v>
      </c>
      <c r="O374" s="16" t="s">
        <v>31</v>
      </c>
      <c r="P374" s="100">
        <f>181+1422</f>
        <v>1603</v>
      </c>
      <c r="Q374" s="18" t="str">
        <f t="shared" si="5"/>
        <v>BM AI01 _ A _ ELISA _ Quantitatif _ Automatisée _ 1 _ EVOLIS, Biorad</v>
      </c>
      <c r="R374" s="286"/>
    </row>
    <row r="375" spans="1:18" ht="76.5" x14ac:dyDescent="0.2">
      <c r="A375" s="14" t="s">
        <v>20</v>
      </c>
      <c r="B375" s="14" t="s">
        <v>839</v>
      </c>
      <c r="C375" s="14" t="s">
        <v>69</v>
      </c>
      <c r="D375" s="14" t="s">
        <v>853</v>
      </c>
      <c r="E375" s="14" t="s">
        <v>886</v>
      </c>
      <c r="F375" s="14" t="s">
        <v>25</v>
      </c>
      <c r="G375" s="14" t="s">
        <v>870</v>
      </c>
      <c r="H375" s="14" t="s">
        <v>27</v>
      </c>
      <c r="I375" s="14" t="s">
        <v>28</v>
      </c>
      <c r="J375" s="102">
        <v>2</v>
      </c>
      <c r="K375" s="22" t="s">
        <v>887</v>
      </c>
      <c r="L375" s="22" t="s">
        <v>1548</v>
      </c>
      <c r="M375" s="29"/>
      <c r="N375" s="26" t="s">
        <v>858</v>
      </c>
      <c r="O375" s="16" t="s">
        <v>31</v>
      </c>
      <c r="P375" s="100">
        <f>65+17</f>
        <v>82</v>
      </c>
      <c r="Q375" s="18" t="str">
        <f t="shared" si="5"/>
        <v xml:space="preserve">BM AI01 _ A _ Chimioluminescence
et
FEIA _ Quantitatif _ Automatisée _ 2 _ BIOFLASH, Inova
et
UNICAP 250, Phadia-Thermo Fischer
</v>
      </c>
      <c r="R375" s="286"/>
    </row>
    <row r="376" spans="1:18" ht="38.25" x14ac:dyDescent="0.2">
      <c r="A376" s="14" t="s">
        <v>20</v>
      </c>
      <c r="B376" s="14" t="s">
        <v>839</v>
      </c>
      <c r="C376" s="14" t="s">
        <v>69</v>
      </c>
      <c r="D376" s="14" t="s">
        <v>853</v>
      </c>
      <c r="E376" s="14" t="s">
        <v>888</v>
      </c>
      <c r="F376" s="14" t="s">
        <v>25</v>
      </c>
      <c r="G376" s="14" t="s">
        <v>878</v>
      </c>
      <c r="H376" s="14" t="s">
        <v>170</v>
      </c>
      <c r="I376" s="14" t="s">
        <v>182</v>
      </c>
      <c r="J376" s="16">
        <v>2</v>
      </c>
      <c r="K376" s="14" t="s">
        <v>879</v>
      </c>
      <c r="L376" s="14" t="s">
        <v>889</v>
      </c>
      <c r="M376" s="29"/>
      <c r="N376" s="26" t="s">
        <v>858</v>
      </c>
      <c r="O376" s="16" t="s">
        <v>184</v>
      </c>
      <c r="P376" s="100">
        <v>681</v>
      </c>
      <c r="Q376" s="18" t="str">
        <f t="shared" si="5"/>
        <v>BM AI01 _ B _ Immunofluorescence Indirecte _ Qualitatif _ Semi-automatisée _ 2 _ PhD Biorad</v>
      </c>
      <c r="R376" s="286"/>
    </row>
    <row r="377" spans="1:18" ht="102" x14ac:dyDescent="0.2">
      <c r="A377" s="14" t="s">
        <v>20</v>
      </c>
      <c r="B377" s="14" t="s">
        <v>839</v>
      </c>
      <c r="C377" s="14" t="s">
        <v>69</v>
      </c>
      <c r="D377" s="14" t="s">
        <v>853</v>
      </c>
      <c r="E377" s="14" t="s">
        <v>890</v>
      </c>
      <c r="F377" s="14" t="s">
        <v>25</v>
      </c>
      <c r="G377" s="14" t="s">
        <v>891</v>
      </c>
      <c r="H377" s="14" t="s">
        <v>27</v>
      </c>
      <c r="I377" s="14" t="s">
        <v>28</v>
      </c>
      <c r="J377" s="16">
        <v>1</v>
      </c>
      <c r="K377" s="14" t="s">
        <v>892</v>
      </c>
      <c r="L377" s="14" t="s">
        <v>893</v>
      </c>
      <c r="M377" s="29"/>
      <c r="N377" s="26" t="s">
        <v>858</v>
      </c>
      <c r="O377" s="16" t="s">
        <v>31</v>
      </c>
      <c r="P377" s="100" t="s">
        <v>894</v>
      </c>
      <c r="Q377" s="18" t="str">
        <f t="shared" si="5"/>
        <v xml:space="preserve">BM AI01 _ A _ Chimioluminescence _ Quantitatif _ Automatisée _ 1 _ BIOFLASH, Inova
</v>
      </c>
      <c r="R377" s="286"/>
    </row>
    <row r="378" spans="1:18" ht="85.5" customHeight="1" x14ac:dyDescent="0.2">
      <c r="A378" s="14" t="s">
        <v>20</v>
      </c>
      <c r="B378" s="14" t="s">
        <v>839</v>
      </c>
      <c r="C378" s="14" t="s">
        <v>69</v>
      </c>
      <c r="D378" s="14" t="s">
        <v>853</v>
      </c>
      <c r="E378" s="14" t="s">
        <v>895</v>
      </c>
      <c r="F378" s="14" t="s">
        <v>25</v>
      </c>
      <c r="G378" s="14" t="s">
        <v>891</v>
      </c>
      <c r="H378" s="14" t="s">
        <v>27</v>
      </c>
      <c r="I378" s="14" t="s">
        <v>28</v>
      </c>
      <c r="J378" s="16">
        <v>1</v>
      </c>
      <c r="K378" s="14" t="s">
        <v>892</v>
      </c>
      <c r="L378" s="14" t="s">
        <v>896</v>
      </c>
      <c r="M378" s="29"/>
      <c r="N378" s="26" t="s">
        <v>858</v>
      </c>
      <c r="O378" s="16" t="s">
        <v>31</v>
      </c>
      <c r="P378" s="100">
        <v>1197</v>
      </c>
      <c r="Q378" s="18" t="str">
        <f t="shared" si="5"/>
        <v xml:space="preserve">BM AI01 _ A _ Chimioluminescence _ Quantitatif _ Automatisée _ 1 _ BIOFLASH, Inova
</v>
      </c>
      <c r="R378" s="286"/>
    </row>
    <row r="379" spans="1:18" ht="38.25" x14ac:dyDescent="0.2">
      <c r="A379" s="14" t="s">
        <v>20</v>
      </c>
      <c r="B379" s="14" t="s">
        <v>839</v>
      </c>
      <c r="C379" s="14" t="s">
        <v>69</v>
      </c>
      <c r="D379" s="14" t="s">
        <v>853</v>
      </c>
      <c r="E379" s="14" t="s">
        <v>897</v>
      </c>
      <c r="F379" s="14" t="s">
        <v>25</v>
      </c>
      <c r="G379" s="14" t="s">
        <v>891</v>
      </c>
      <c r="H379" s="14" t="s">
        <v>27</v>
      </c>
      <c r="I379" s="14" t="s">
        <v>28</v>
      </c>
      <c r="J379" s="16">
        <v>1</v>
      </c>
      <c r="K379" s="14" t="s">
        <v>892</v>
      </c>
      <c r="L379" s="14" t="s">
        <v>898</v>
      </c>
      <c r="M379" s="29"/>
      <c r="N379" s="26" t="s">
        <v>858</v>
      </c>
      <c r="O379" s="16" t="s">
        <v>31</v>
      </c>
      <c r="P379" s="100">
        <v>1197</v>
      </c>
      <c r="Q379" s="18" t="str">
        <f t="shared" si="5"/>
        <v xml:space="preserve">BM AI01 _ A _ Chimioluminescence _ Quantitatif _ Automatisée _ 1 _ BIOFLASH, Inova
</v>
      </c>
      <c r="R379" s="286"/>
    </row>
    <row r="380" spans="1:18" ht="38.25" x14ac:dyDescent="0.2">
      <c r="A380" s="14" t="s">
        <v>20</v>
      </c>
      <c r="B380" s="14" t="s">
        <v>839</v>
      </c>
      <c r="C380" s="14" t="s">
        <v>69</v>
      </c>
      <c r="D380" s="14" t="s">
        <v>853</v>
      </c>
      <c r="E380" s="14" t="s">
        <v>899</v>
      </c>
      <c r="F380" s="14" t="s">
        <v>25</v>
      </c>
      <c r="G380" s="14" t="s">
        <v>891</v>
      </c>
      <c r="H380" s="14" t="s">
        <v>27</v>
      </c>
      <c r="I380" s="14" t="s">
        <v>28</v>
      </c>
      <c r="J380" s="16">
        <v>1</v>
      </c>
      <c r="K380" s="14" t="s">
        <v>892</v>
      </c>
      <c r="L380" s="14" t="s">
        <v>900</v>
      </c>
      <c r="M380" s="29"/>
      <c r="N380" s="26" t="s">
        <v>858</v>
      </c>
      <c r="O380" s="16" t="s">
        <v>31</v>
      </c>
      <c r="P380" s="100">
        <v>1974</v>
      </c>
      <c r="Q380" s="18" t="str">
        <f t="shared" si="5"/>
        <v xml:space="preserve">BM AI01 _ A _ Chimioluminescence _ Quantitatif _ Automatisée _ 1 _ BIOFLASH, Inova
</v>
      </c>
      <c r="R380" s="286"/>
    </row>
    <row r="381" spans="1:18" ht="38.25" x14ac:dyDescent="0.2">
      <c r="A381" s="14" t="s">
        <v>20</v>
      </c>
      <c r="B381" s="14" t="s">
        <v>839</v>
      </c>
      <c r="C381" s="14" t="s">
        <v>69</v>
      </c>
      <c r="D381" s="14" t="s">
        <v>853</v>
      </c>
      <c r="E381" s="14" t="s">
        <v>901</v>
      </c>
      <c r="F381" s="14" t="s">
        <v>25</v>
      </c>
      <c r="G381" s="14" t="s">
        <v>891</v>
      </c>
      <c r="H381" s="14" t="s">
        <v>27</v>
      </c>
      <c r="I381" s="14" t="s">
        <v>28</v>
      </c>
      <c r="J381" s="16">
        <v>1</v>
      </c>
      <c r="K381" s="14" t="s">
        <v>892</v>
      </c>
      <c r="L381" s="14" t="s">
        <v>902</v>
      </c>
      <c r="M381" s="29"/>
      <c r="N381" s="26" t="s">
        <v>858</v>
      </c>
      <c r="O381" s="16" t="s">
        <v>31</v>
      </c>
      <c r="P381" s="100">
        <v>1974</v>
      </c>
      <c r="Q381" s="18" t="str">
        <f t="shared" si="5"/>
        <v xml:space="preserve">BM AI01 _ A _ Chimioluminescence _ Quantitatif _ Automatisée _ 1 _ BIOFLASH, Inova
</v>
      </c>
      <c r="R381" s="286"/>
    </row>
    <row r="382" spans="1:18" ht="38.25" x14ac:dyDescent="0.2">
      <c r="A382" s="14" t="s">
        <v>20</v>
      </c>
      <c r="B382" s="14" t="s">
        <v>839</v>
      </c>
      <c r="C382" s="14" t="s">
        <v>69</v>
      </c>
      <c r="D382" s="14" t="s">
        <v>853</v>
      </c>
      <c r="E382" s="14" t="s">
        <v>903</v>
      </c>
      <c r="F382" s="14" t="s">
        <v>25</v>
      </c>
      <c r="G382" s="14" t="s">
        <v>391</v>
      </c>
      <c r="H382" s="14" t="s">
        <v>27</v>
      </c>
      <c r="I382" s="14" t="s">
        <v>28</v>
      </c>
      <c r="J382" s="16">
        <v>1</v>
      </c>
      <c r="K382" s="14" t="s">
        <v>892</v>
      </c>
      <c r="L382" s="14" t="s">
        <v>904</v>
      </c>
      <c r="M382" s="21"/>
      <c r="N382" s="26" t="s">
        <v>858</v>
      </c>
      <c r="O382" s="16" t="s">
        <v>31</v>
      </c>
      <c r="P382" s="100">
        <v>86</v>
      </c>
      <c r="Q382" s="18" t="str">
        <f t="shared" si="5"/>
        <v xml:space="preserve">BM AI01 _ A _ Chimiluminescence _ Quantitatif _ Automatisée _ 1 _ BIOFLASH, Inova
</v>
      </c>
      <c r="R382" s="286"/>
    </row>
    <row r="383" spans="1:18" ht="38.25" x14ac:dyDescent="0.2">
      <c r="A383" s="14" t="s">
        <v>20</v>
      </c>
      <c r="B383" s="14" t="s">
        <v>839</v>
      </c>
      <c r="C383" s="14" t="s">
        <v>69</v>
      </c>
      <c r="D383" s="14" t="s">
        <v>853</v>
      </c>
      <c r="E383" s="14" t="s">
        <v>905</v>
      </c>
      <c r="F383" s="14" t="s">
        <v>25</v>
      </c>
      <c r="G383" s="14" t="s">
        <v>391</v>
      </c>
      <c r="H383" s="14" t="s">
        <v>27</v>
      </c>
      <c r="I383" s="14" t="s">
        <v>28</v>
      </c>
      <c r="J383" s="16">
        <v>1</v>
      </c>
      <c r="K383" s="14" t="s">
        <v>892</v>
      </c>
      <c r="L383" s="14" t="s">
        <v>906</v>
      </c>
      <c r="M383" s="21"/>
      <c r="N383" s="26" t="s">
        <v>858</v>
      </c>
      <c r="O383" s="16" t="s">
        <v>31</v>
      </c>
      <c r="P383" s="100">
        <v>38</v>
      </c>
      <c r="Q383" s="18" t="str">
        <f t="shared" si="5"/>
        <v xml:space="preserve">BM AI01 _ A _ Chimiluminescence _ Quantitatif _ Automatisée _ 1 _ BIOFLASH, Inova
</v>
      </c>
      <c r="R383" s="286"/>
    </row>
    <row r="384" spans="1:18" ht="38.25" x14ac:dyDescent="0.2">
      <c r="A384" s="14" t="s">
        <v>20</v>
      </c>
      <c r="B384" s="14" t="s">
        <v>839</v>
      </c>
      <c r="C384" s="14" t="s">
        <v>69</v>
      </c>
      <c r="D384" s="14" t="s">
        <v>853</v>
      </c>
      <c r="E384" s="20" t="s">
        <v>907</v>
      </c>
      <c r="F384" s="14" t="s">
        <v>25</v>
      </c>
      <c r="G384" s="14" t="s">
        <v>391</v>
      </c>
      <c r="H384" s="14" t="s">
        <v>27</v>
      </c>
      <c r="I384" s="14" t="s">
        <v>28</v>
      </c>
      <c r="J384" s="16">
        <v>1</v>
      </c>
      <c r="K384" s="14" t="s">
        <v>892</v>
      </c>
      <c r="L384" s="14" t="s">
        <v>908</v>
      </c>
      <c r="M384" s="21"/>
      <c r="N384" s="26" t="s">
        <v>858</v>
      </c>
      <c r="O384" s="16" t="s">
        <v>31</v>
      </c>
      <c r="P384" s="100">
        <v>735</v>
      </c>
      <c r="Q384" s="18" t="str">
        <f t="shared" si="5"/>
        <v xml:space="preserve">BM AI01 _ A _ Chimiluminescence _ Quantitatif _ Automatisée _ 1 _ BIOFLASH, Inova
</v>
      </c>
      <c r="R384" s="286"/>
    </row>
    <row r="385" spans="1:18" ht="38.25" x14ac:dyDescent="0.2">
      <c r="A385" s="14" t="s">
        <v>20</v>
      </c>
      <c r="B385" s="14" t="s">
        <v>839</v>
      </c>
      <c r="C385" s="14" t="s">
        <v>69</v>
      </c>
      <c r="D385" s="14" t="s">
        <v>853</v>
      </c>
      <c r="E385" s="14" t="s">
        <v>910</v>
      </c>
      <c r="F385" s="14" t="s">
        <v>25</v>
      </c>
      <c r="G385" s="14" t="s">
        <v>878</v>
      </c>
      <c r="H385" s="14" t="s">
        <v>170</v>
      </c>
      <c r="I385" s="14" t="s">
        <v>28</v>
      </c>
      <c r="J385" s="16">
        <v>2</v>
      </c>
      <c r="K385" s="14" t="s">
        <v>909</v>
      </c>
      <c r="L385" s="14" t="s">
        <v>911</v>
      </c>
      <c r="M385" s="21"/>
      <c r="N385" s="26" t="s">
        <v>858</v>
      </c>
      <c r="O385" s="16" t="s">
        <v>31</v>
      </c>
      <c r="P385" s="100">
        <v>3944</v>
      </c>
      <c r="Q385" s="18" t="str">
        <f t="shared" si="5"/>
        <v xml:space="preserve">BM AI01 _ A _ Immunofluorescence Indirecte _ Qualitatif _ Automatisée _ 2 _ PhD Biorad </v>
      </c>
      <c r="R385" s="286"/>
    </row>
    <row r="386" spans="1:18" ht="38.25" x14ac:dyDescent="0.2">
      <c r="A386" s="14" t="s">
        <v>20</v>
      </c>
      <c r="B386" s="14" t="s">
        <v>839</v>
      </c>
      <c r="C386" s="14" t="s">
        <v>69</v>
      </c>
      <c r="D386" s="14" t="s">
        <v>853</v>
      </c>
      <c r="E386" s="14" t="s">
        <v>912</v>
      </c>
      <c r="F386" s="14" t="s">
        <v>25</v>
      </c>
      <c r="G386" s="14" t="s">
        <v>860</v>
      </c>
      <c r="H386" s="14" t="s">
        <v>170</v>
      </c>
      <c r="I386" s="14" t="s">
        <v>28</v>
      </c>
      <c r="J386" s="16">
        <v>1</v>
      </c>
      <c r="K386" s="14" t="s">
        <v>861</v>
      </c>
      <c r="L386" s="14" t="s">
        <v>913</v>
      </c>
      <c r="M386" s="21"/>
      <c r="N386" s="26" t="s">
        <v>858</v>
      </c>
      <c r="O386" s="16" t="s">
        <v>31</v>
      </c>
      <c r="P386" s="100">
        <v>522</v>
      </c>
      <c r="Q386" s="18" t="str">
        <f t="shared" si="5"/>
        <v>BM AI01 _ A _ ELISA _ Qualitatif _ Automatisée _ 1 _ EVOLIS, Biorad</v>
      </c>
      <c r="R386" s="286"/>
    </row>
    <row r="387" spans="1:18" ht="38.25" x14ac:dyDescent="0.2">
      <c r="A387" s="14" t="s">
        <v>20</v>
      </c>
      <c r="B387" s="14" t="s">
        <v>839</v>
      </c>
      <c r="C387" s="14" t="s">
        <v>69</v>
      </c>
      <c r="D387" s="14" t="s">
        <v>853</v>
      </c>
      <c r="E387" s="14" t="s">
        <v>914</v>
      </c>
      <c r="F387" s="14" t="s">
        <v>25</v>
      </c>
      <c r="G387" s="14" t="s">
        <v>860</v>
      </c>
      <c r="H387" s="14" t="s">
        <v>170</v>
      </c>
      <c r="I387" s="14" t="s">
        <v>28</v>
      </c>
      <c r="J387" s="16">
        <v>1</v>
      </c>
      <c r="K387" s="14" t="s">
        <v>861</v>
      </c>
      <c r="L387" s="14" t="s">
        <v>915</v>
      </c>
      <c r="M387" s="21"/>
      <c r="N387" s="26" t="s">
        <v>858</v>
      </c>
      <c r="O387" s="16" t="s">
        <v>31</v>
      </c>
      <c r="P387" s="100">
        <v>251</v>
      </c>
      <c r="Q387" s="18" t="str">
        <f t="shared" si="5"/>
        <v>BM AI01 _ A _ ELISA _ Qualitatif _ Automatisée _ 1 _ EVOLIS, Biorad</v>
      </c>
      <c r="R387" s="286"/>
    </row>
    <row r="388" spans="1:18" ht="38.25" x14ac:dyDescent="0.2">
      <c r="A388" s="14" t="s">
        <v>20</v>
      </c>
      <c r="B388" s="62" t="s">
        <v>839</v>
      </c>
      <c r="C388" s="62" t="s">
        <v>69</v>
      </c>
      <c r="D388" s="62" t="s">
        <v>853</v>
      </c>
      <c r="E388" s="402" t="s">
        <v>916</v>
      </c>
      <c r="F388" s="62" t="s">
        <v>25</v>
      </c>
      <c r="G388" s="62" t="s">
        <v>917</v>
      </c>
      <c r="H388" s="62" t="s">
        <v>170</v>
      </c>
      <c r="I388" s="62" t="s">
        <v>182</v>
      </c>
      <c r="J388" s="63" t="s">
        <v>918</v>
      </c>
      <c r="K388" s="62" t="s">
        <v>919</v>
      </c>
      <c r="L388" s="62" t="s">
        <v>920</v>
      </c>
      <c r="M388" s="103"/>
      <c r="N388" s="104" t="s">
        <v>858</v>
      </c>
      <c r="O388" s="63" t="s">
        <v>184</v>
      </c>
      <c r="P388" s="105">
        <v>126</v>
      </c>
      <c r="Q388" s="18" t="str">
        <f t="shared" si="5"/>
        <v>BM AI01 _ B _ Immunoblot _ Qualitatif _ Semi-automatisée _ 3 et 1 _ Easy blot , EuroblotMaster</v>
      </c>
      <c r="R388" s="286"/>
    </row>
    <row r="389" spans="1:18" ht="51" x14ac:dyDescent="0.2">
      <c r="A389" s="403" t="s">
        <v>20</v>
      </c>
      <c r="B389" s="403" t="s">
        <v>839</v>
      </c>
      <c r="C389" s="403" t="s">
        <v>69</v>
      </c>
      <c r="D389" s="403" t="s">
        <v>853</v>
      </c>
      <c r="E389" s="403" t="s">
        <v>921</v>
      </c>
      <c r="F389" s="403" t="s">
        <v>25</v>
      </c>
      <c r="G389" s="403" t="s">
        <v>917</v>
      </c>
      <c r="H389" s="403" t="s">
        <v>170</v>
      </c>
      <c r="I389" s="403" t="s">
        <v>182</v>
      </c>
      <c r="J389" s="404" t="s">
        <v>922</v>
      </c>
      <c r="K389" s="403" t="s">
        <v>923</v>
      </c>
      <c r="L389" s="403" t="s">
        <v>924</v>
      </c>
      <c r="M389" s="405" t="s">
        <v>1826</v>
      </c>
      <c r="N389" s="406" t="s">
        <v>858</v>
      </c>
      <c r="O389" s="404" t="s">
        <v>184</v>
      </c>
      <c r="P389" s="407">
        <v>244</v>
      </c>
      <c r="Q389" s="18" t="str">
        <f t="shared" si="5"/>
        <v>BM AI01 _ B _ Immunoblot _ Qualitatif _ Semi-automatisée _ 3, 1 et 1 _ Easy blot, EuroblotMaster / Odyssey CLx, LI-COR</v>
      </c>
      <c r="R389" s="286"/>
    </row>
    <row r="390" spans="1:18" ht="63.75" x14ac:dyDescent="0.2">
      <c r="A390" s="14" t="s">
        <v>20</v>
      </c>
      <c r="B390" s="14" t="s">
        <v>839</v>
      </c>
      <c r="C390" s="14" t="s">
        <v>69</v>
      </c>
      <c r="D390" s="14" t="s">
        <v>853</v>
      </c>
      <c r="E390" s="14" t="s">
        <v>1782</v>
      </c>
      <c r="F390" s="14" t="s">
        <v>25</v>
      </c>
      <c r="G390" s="14" t="s">
        <v>925</v>
      </c>
      <c r="H390" s="14" t="s">
        <v>27</v>
      </c>
      <c r="I390" s="14" t="s">
        <v>28</v>
      </c>
      <c r="J390" s="102">
        <v>2</v>
      </c>
      <c r="K390" s="22" t="s">
        <v>864</v>
      </c>
      <c r="L390" s="22" t="s">
        <v>1549</v>
      </c>
      <c r="M390" s="29"/>
      <c r="N390" s="14" t="s">
        <v>858</v>
      </c>
      <c r="O390" s="16" t="s">
        <v>31</v>
      </c>
      <c r="P390" s="107">
        <v>212</v>
      </c>
      <c r="Q390" s="18" t="str">
        <f t="shared" si="5"/>
        <v>BM AI01 _ A _ FEIA (Fluorescent Enzyme ImmunoAssay) _ Quantitatif _ Automatisée _ 2 _ UNICAP 250, Phadia-Thermo Fischer</v>
      </c>
      <c r="R390" s="286"/>
    </row>
    <row r="391" spans="1:18" ht="127.5" x14ac:dyDescent="0.2">
      <c r="A391" s="14" t="s">
        <v>20</v>
      </c>
      <c r="B391" s="24" t="s">
        <v>926</v>
      </c>
      <c r="C391" s="24" t="s">
        <v>69</v>
      </c>
      <c r="D391" s="19" t="s">
        <v>213</v>
      </c>
      <c r="E391" s="38" t="s">
        <v>927</v>
      </c>
      <c r="F391" s="24" t="s">
        <v>928</v>
      </c>
      <c r="G391" s="24" t="s">
        <v>929</v>
      </c>
      <c r="H391" s="24" t="s">
        <v>170</v>
      </c>
      <c r="I391" s="24" t="s">
        <v>171</v>
      </c>
      <c r="J391" s="16"/>
      <c r="K391" s="24" t="s">
        <v>930</v>
      </c>
      <c r="L391" s="24" t="s">
        <v>931</v>
      </c>
      <c r="M391" s="29"/>
      <c r="N391" s="24" t="s">
        <v>265</v>
      </c>
      <c r="O391" s="16" t="s">
        <v>184</v>
      </c>
      <c r="P391" s="106">
        <v>4788</v>
      </c>
      <c r="Q391" s="18" t="str">
        <f t="shared" si="5"/>
        <v>BM MG07 _ B _ Examen direct sur selles fraiches ou fixées dans le MIF et examen après concentration _ Qualitatif _ Manuelle _  _ Microscope</v>
      </c>
      <c r="R391" s="286"/>
    </row>
    <row r="392" spans="1:18" ht="89.25" x14ac:dyDescent="0.2">
      <c r="A392" s="14" t="s">
        <v>20</v>
      </c>
      <c r="B392" s="30" t="s">
        <v>932</v>
      </c>
      <c r="C392" s="24" t="s">
        <v>69</v>
      </c>
      <c r="D392" s="24" t="s">
        <v>655</v>
      </c>
      <c r="E392" s="24" t="s">
        <v>933</v>
      </c>
      <c r="F392" s="24" t="s">
        <v>657</v>
      </c>
      <c r="G392" s="24" t="s">
        <v>934</v>
      </c>
      <c r="H392" s="24" t="s">
        <v>170</v>
      </c>
      <c r="I392" s="24" t="s">
        <v>171</v>
      </c>
      <c r="J392" s="16">
        <v>1</v>
      </c>
      <c r="K392" s="24" t="s">
        <v>935</v>
      </c>
      <c r="L392" s="24" t="s">
        <v>936</v>
      </c>
      <c r="M392" s="29"/>
      <c r="N392" s="32" t="s">
        <v>661</v>
      </c>
      <c r="O392" s="16" t="s">
        <v>184</v>
      </c>
      <c r="P392" s="100">
        <v>76</v>
      </c>
      <c r="Q392" s="18" t="str">
        <f t="shared" si="5"/>
        <v>BM GC04 _ B _ PCR en temps réel (RT-PCR) avec détection de fluorescence, chimie TaqMan _ Qualitatif _ Manuelle _ 1 _ Thermocycleur avec détection de fluorescence en temps réel</v>
      </c>
      <c r="R392" s="286"/>
    </row>
    <row r="393" spans="1:18" ht="302.25" customHeight="1" x14ac:dyDescent="0.2">
      <c r="A393" s="14" t="s">
        <v>20</v>
      </c>
      <c r="B393" s="30" t="s">
        <v>932</v>
      </c>
      <c r="C393" s="24" t="s">
        <v>69</v>
      </c>
      <c r="D393" s="24" t="s">
        <v>655</v>
      </c>
      <c r="E393" s="38" t="s">
        <v>937</v>
      </c>
      <c r="F393" s="24" t="s">
        <v>657</v>
      </c>
      <c r="G393" s="24" t="s">
        <v>934</v>
      </c>
      <c r="H393" s="24" t="s">
        <v>170</v>
      </c>
      <c r="I393" s="24" t="s">
        <v>171</v>
      </c>
      <c r="J393" s="16">
        <v>1</v>
      </c>
      <c r="K393" s="24" t="s">
        <v>935</v>
      </c>
      <c r="L393" s="24" t="s">
        <v>938</v>
      </c>
      <c r="M393" s="29"/>
      <c r="N393" s="32" t="s">
        <v>661</v>
      </c>
      <c r="O393" s="16" t="s">
        <v>184</v>
      </c>
      <c r="P393" s="100">
        <v>283</v>
      </c>
      <c r="Q393" s="18" t="str">
        <f t="shared" si="5"/>
        <v>BM GC04 _ B _ PCR en temps réel (RT-PCR) avec détection de fluorescence, chimie TaqMan _ Qualitatif _ Manuelle _ 1 _ Thermocycleur avec détection de fluorescence en temps réel</v>
      </c>
      <c r="R393" s="286"/>
    </row>
    <row r="394" spans="1:18" ht="127.5" x14ac:dyDescent="0.2">
      <c r="A394" s="14" t="s">
        <v>20</v>
      </c>
      <c r="B394" s="19" t="s">
        <v>939</v>
      </c>
      <c r="C394" s="23" t="s">
        <v>22</v>
      </c>
      <c r="D394" s="23" t="s">
        <v>207</v>
      </c>
      <c r="E394" s="38" t="s">
        <v>940</v>
      </c>
      <c r="F394" s="24" t="s">
        <v>941</v>
      </c>
      <c r="G394" s="24" t="s">
        <v>942</v>
      </c>
      <c r="H394" s="24" t="s">
        <v>170</v>
      </c>
      <c r="I394" s="24" t="s">
        <v>28</v>
      </c>
      <c r="J394" s="74">
        <v>2</v>
      </c>
      <c r="K394" s="24" t="s">
        <v>943</v>
      </c>
      <c r="L394" s="24" t="s">
        <v>944</v>
      </c>
      <c r="M394" s="24"/>
      <c r="N394" s="29" t="s">
        <v>212</v>
      </c>
      <c r="O394" s="16" t="s">
        <v>31</v>
      </c>
      <c r="P394" s="108">
        <v>16164</v>
      </c>
      <c r="Q394" s="18" t="str">
        <f t="shared" si="5"/>
        <v>BM BA02 _ A _ Détection d'acides nucléiques, après extraction et purification (PCR, hybridation, …) – Biologie moléculaire _ Qualitatif _ Automatisée _ 2 _ Panther Hologic</v>
      </c>
      <c r="R394" s="286"/>
    </row>
    <row r="395" spans="1:18" ht="90" customHeight="1" x14ac:dyDescent="0.2">
      <c r="A395" s="14" t="s">
        <v>20</v>
      </c>
      <c r="B395" s="19" t="s">
        <v>939</v>
      </c>
      <c r="C395" s="23" t="s">
        <v>22</v>
      </c>
      <c r="D395" s="23" t="s">
        <v>207</v>
      </c>
      <c r="E395" s="24" t="s">
        <v>945</v>
      </c>
      <c r="F395" s="24" t="s">
        <v>941</v>
      </c>
      <c r="G395" s="24" t="s">
        <v>942</v>
      </c>
      <c r="H395" s="24" t="s">
        <v>170</v>
      </c>
      <c r="I395" s="24" t="s">
        <v>28</v>
      </c>
      <c r="J395" s="74">
        <v>2</v>
      </c>
      <c r="K395" s="24" t="s">
        <v>943</v>
      </c>
      <c r="L395" s="24" t="s">
        <v>944</v>
      </c>
      <c r="M395" s="24"/>
      <c r="N395" s="29" t="s">
        <v>212</v>
      </c>
      <c r="O395" s="16" t="s">
        <v>31</v>
      </c>
      <c r="P395" s="109" t="s">
        <v>946</v>
      </c>
      <c r="Q395" s="18" t="str">
        <f t="shared" si="5"/>
        <v>BM BA02 _ A _ Détection d'acides nucléiques, après extraction et purification (PCR, hybridation, …) – Biologie moléculaire _ Qualitatif _ Automatisée _ 2 _ Panther Hologic</v>
      </c>
      <c r="R395" s="286"/>
    </row>
    <row r="396" spans="1:18" ht="83.25" customHeight="1" x14ac:dyDescent="0.2">
      <c r="A396" s="22" t="s">
        <v>20</v>
      </c>
      <c r="B396" s="22" t="s">
        <v>939</v>
      </c>
      <c r="C396" s="15" t="s">
        <v>22</v>
      </c>
      <c r="D396" s="15" t="s">
        <v>207</v>
      </c>
      <c r="E396" s="72" t="s">
        <v>947</v>
      </c>
      <c r="F396" s="72" t="s">
        <v>948</v>
      </c>
      <c r="G396" s="72" t="s">
        <v>942</v>
      </c>
      <c r="H396" s="72" t="s">
        <v>170</v>
      </c>
      <c r="I396" s="72" t="s">
        <v>28</v>
      </c>
      <c r="J396" s="74">
        <v>1</v>
      </c>
      <c r="K396" s="274" t="s">
        <v>1260</v>
      </c>
      <c r="L396" s="40" t="s">
        <v>1781</v>
      </c>
      <c r="M396" s="72"/>
      <c r="N396" s="135" t="s">
        <v>212</v>
      </c>
      <c r="O396" s="102" t="s">
        <v>184</v>
      </c>
      <c r="P396" s="108">
        <v>152</v>
      </c>
      <c r="Q396" s="18" t="str">
        <f t="shared" si="5"/>
        <v>BM BA02 _ B _ Détection d'acides nucléiques, après extraction et purification (PCR, hybridation, …) – Biologie moléculaire _ Qualitatif _ Automatisée _ 1 _ Panther Fusion Hologic</v>
      </c>
      <c r="R396" s="286"/>
    </row>
    <row r="397" spans="1:18" ht="85.5" customHeight="1" x14ac:dyDescent="0.2">
      <c r="A397" s="14" t="s">
        <v>20</v>
      </c>
      <c r="B397" s="19" t="s">
        <v>939</v>
      </c>
      <c r="C397" s="19" t="s">
        <v>22</v>
      </c>
      <c r="D397" s="19" t="s">
        <v>213</v>
      </c>
      <c r="E397" s="20" t="s">
        <v>950</v>
      </c>
      <c r="F397" s="19" t="s">
        <v>951</v>
      </c>
      <c r="G397" s="19" t="s">
        <v>247</v>
      </c>
      <c r="H397" s="19" t="s">
        <v>27</v>
      </c>
      <c r="I397" s="19" t="s">
        <v>28</v>
      </c>
      <c r="J397" s="22" t="s">
        <v>952</v>
      </c>
      <c r="K397" s="22" t="s">
        <v>248</v>
      </c>
      <c r="L397" s="22" t="s">
        <v>953</v>
      </c>
      <c r="M397" s="41"/>
      <c r="N397" s="14" t="s">
        <v>251</v>
      </c>
      <c r="O397" s="16" t="s">
        <v>31</v>
      </c>
      <c r="P397" s="41">
        <v>4227</v>
      </c>
      <c r="Q397" s="18" t="str">
        <f t="shared" si="5"/>
        <v>BM MG01 _ A _ Chemiluminescence (CMIA) _ Quantitatif _ Automatisée _ 2 modules _ Alinity-i (Abbott)</v>
      </c>
      <c r="R397" s="286"/>
    </row>
    <row r="398" spans="1:18" ht="88.5" customHeight="1" x14ac:dyDescent="0.2">
      <c r="A398" s="14" t="s">
        <v>20</v>
      </c>
      <c r="B398" s="19" t="s">
        <v>939</v>
      </c>
      <c r="C398" s="19" t="s">
        <v>22</v>
      </c>
      <c r="D398" s="19" t="s">
        <v>213</v>
      </c>
      <c r="E398" s="14" t="s">
        <v>954</v>
      </c>
      <c r="F398" s="19" t="s">
        <v>951</v>
      </c>
      <c r="G398" s="19" t="s">
        <v>247</v>
      </c>
      <c r="H398" s="19" t="s">
        <v>27</v>
      </c>
      <c r="I398" s="19" t="s">
        <v>28</v>
      </c>
      <c r="J398" s="22" t="s">
        <v>952</v>
      </c>
      <c r="K398" s="22" t="s">
        <v>248</v>
      </c>
      <c r="L398" s="22" t="s">
        <v>955</v>
      </c>
      <c r="M398" s="22"/>
      <c r="N398" s="14" t="s">
        <v>251</v>
      </c>
      <c r="O398" s="16" t="s">
        <v>31</v>
      </c>
      <c r="P398" s="41">
        <v>1669</v>
      </c>
      <c r="Q398" s="18" t="str">
        <f t="shared" si="5"/>
        <v>BM MG01 _ A _ Chemiluminescence (CMIA) _ Quantitatif _ Automatisée _ 2 modules _ Alinity-i (Abbott)</v>
      </c>
      <c r="R398" s="286"/>
    </row>
    <row r="399" spans="1:18" ht="68.25" customHeight="1" x14ac:dyDescent="0.2">
      <c r="A399" s="22" t="s">
        <v>20</v>
      </c>
      <c r="B399" s="22" t="s">
        <v>939</v>
      </c>
      <c r="C399" s="22" t="s">
        <v>22</v>
      </c>
      <c r="D399" s="22" t="s">
        <v>213</v>
      </c>
      <c r="E399" s="22" t="s">
        <v>956</v>
      </c>
      <c r="F399" s="22" t="s">
        <v>951</v>
      </c>
      <c r="G399" s="22" t="s">
        <v>247</v>
      </c>
      <c r="H399" s="22" t="s">
        <v>27</v>
      </c>
      <c r="I399" s="22" t="s">
        <v>28</v>
      </c>
      <c r="J399" s="74" t="s">
        <v>952</v>
      </c>
      <c r="K399" s="22" t="s">
        <v>248</v>
      </c>
      <c r="L399" s="22" t="s">
        <v>957</v>
      </c>
      <c r="M399" s="22"/>
      <c r="N399" s="22" t="s">
        <v>251</v>
      </c>
      <c r="O399" s="74" t="s">
        <v>31</v>
      </c>
      <c r="P399" s="41">
        <v>1637</v>
      </c>
      <c r="Q399" s="18" t="str">
        <f t="shared" si="5"/>
        <v>BM MG01 _ A _ Chemiluminescence (CMIA) _ Quantitatif _ Automatisée _ 2 modules _ Alinity-i (Abbott)</v>
      </c>
      <c r="R399" s="286"/>
    </row>
    <row r="400" spans="1:18" ht="38.25" x14ac:dyDescent="0.2">
      <c r="A400" s="22" t="s">
        <v>20</v>
      </c>
      <c r="B400" s="22" t="s">
        <v>939</v>
      </c>
      <c r="C400" s="22" t="s">
        <v>22</v>
      </c>
      <c r="D400" s="22" t="s">
        <v>213</v>
      </c>
      <c r="E400" s="22" t="s">
        <v>958</v>
      </c>
      <c r="F400" s="22" t="s">
        <v>951</v>
      </c>
      <c r="G400" s="22" t="s">
        <v>247</v>
      </c>
      <c r="H400" s="22" t="s">
        <v>27</v>
      </c>
      <c r="I400" s="22" t="s">
        <v>28</v>
      </c>
      <c r="J400" s="22" t="s">
        <v>959</v>
      </c>
      <c r="K400" s="22" t="s">
        <v>248</v>
      </c>
      <c r="L400" s="22" t="s">
        <v>960</v>
      </c>
      <c r="M400" s="22"/>
      <c r="N400" s="22" t="s">
        <v>251</v>
      </c>
      <c r="O400" s="74" t="s">
        <v>31</v>
      </c>
      <c r="P400" s="41">
        <v>302</v>
      </c>
      <c r="Q400" s="18" t="str">
        <f t="shared" ref="Q400:Q463" si="6">CONCATENATE(N400," _ ",O400," _ ",G400," _ ",H400," _ ",I400," _ ",J400," _ ",K400)</f>
        <v>BM MG01 _ A _ Chemiluminescence (CMIA) _ Quantitatif _ Automatisée _ 1 module _ Alinity-i (Abbott)</v>
      </c>
      <c r="R400" s="286"/>
    </row>
    <row r="401" spans="1:18" ht="38.25" x14ac:dyDescent="0.2">
      <c r="A401" s="22" t="s">
        <v>20</v>
      </c>
      <c r="B401" s="22" t="s">
        <v>939</v>
      </c>
      <c r="C401" s="22" t="s">
        <v>22</v>
      </c>
      <c r="D401" s="22" t="s">
        <v>213</v>
      </c>
      <c r="E401" s="22" t="s">
        <v>961</v>
      </c>
      <c r="F401" s="22" t="s">
        <v>951</v>
      </c>
      <c r="G401" s="22" t="s">
        <v>247</v>
      </c>
      <c r="H401" s="22" t="s">
        <v>27</v>
      </c>
      <c r="I401" s="22" t="s">
        <v>28</v>
      </c>
      <c r="J401" s="74" t="s">
        <v>952</v>
      </c>
      <c r="K401" s="22" t="s">
        <v>248</v>
      </c>
      <c r="L401" s="22" t="s">
        <v>962</v>
      </c>
      <c r="M401" s="22"/>
      <c r="N401" s="22" t="s">
        <v>251</v>
      </c>
      <c r="O401" s="74" t="s">
        <v>31</v>
      </c>
      <c r="P401" s="41">
        <v>19381</v>
      </c>
      <c r="Q401" s="18" t="str">
        <f t="shared" si="6"/>
        <v>BM MG01 _ A _ Chemiluminescence (CMIA) _ Quantitatif _ Automatisée _ 2 modules _ Alinity-i (Abbott)</v>
      </c>
      <c r="R401" s="286"/>
    </row>
    <row r="402" spans="1:18" ht="51" x14ac:dyDescent="0.2">
      <c r="A402" s="14" t="s">
        <v>20</v>
      </c>
      <c r="B402" s="19" t="s">
        <v>939</v>
      </c>
      <c r="C402" s="19" t="s">
        <v>22</v>
      </c>
      <c r="D402" s="19" t="s">
        <v>213</v>
      </c>
      <c r="E402" s="14" t="s">
        <v>963</v>
      </c>
      <c r="F402" s="19" t="s">
        <v>951</v>
      </c>
      <c r="G402" s="19" t="s">
        <v>964</v>
      </c>
      <c r="H402" s="19" t="s">
        <v>27</v>
      </c>
      <c r="I402" s="19" t="s">
        <v>28</v>
      </c>
      <c r="J402" s="74">
        <v>1</v>
      </c>
      <c r="K402" s="19" t="s">
        <v>965</v>
      </c>
      <c r="L402" s="19" t="s">
        <v>966</v>
      </c>
      <c r="M402" s="19"/>
      <c r="N402" s="14" t="s">
        <v>251</v>
      </c>
      <c r="O402" s="16" t="s">
        <v>31</v>
      </c>
      <c r="P402" s="41">
        <v>314</v>
      </c>
      <c r="Q402" s="18" t="str">
        <f t="shared" si="6"/>
        <v>BM MG01 _ A _ EIA _ Quantitatif _ Automatisée _ 1 _ Vidas (Biomérieux)</v>
      </c>
      <c r="R402" s="286"/>
    </row>
    <row r="403" spans="1:18" ht="38.25" x14ac:dyDescent="0.2">
      <c r="A403" s="22" t="s">
        <v>20</v>
      </c>
      <c r="B403" s="22" t="s">
        <v>939</v>
      </c>
      <c r="C403" s="22" t="s">
        <v>22</v>
      </c>
      <c r="D403" s="22" t="s">
        <v>213</v>
      </c>
      <c r="E403" s="22" t="s">
        <v>967</v>
      </c>
      <c r="F403" s="22" t="s">
        <v>951</v>
      </c>
      <c r="G403" s="22" t="s">
        <v>247</v>
      </c>
      <c r="H403" s="22" t="s">
        <v>27</v>
      </c>
      <c r="I403" s="22" t="s">
        <v>28</v>
      </c>
      <c r="J403" s="22" t="s">
        <v>952</v>
      </c>
      <c r="K403" s="22" t="s">
        <v>248</v>
      </c>
      <c r="L403" s="22" t="s">
        <v>968</v>
      </c>
      <c r="M403" s="41"/>
      <c r="N403" s="22" t="s">
        <v>251</v>
      </c>
      <c r="O403" s="74" t="s">
        <v>31</v>
      </c>
      <c r="P403" s="41">
        <v>2081</v>
      </c>
      <c r="Q403" s="18" t="str">
        <f t="shared" si="6"/>
        <v>BM MG01 _ A _ Chemiluminescence (CMIA) _ Quantitatif _ Automatisée _ 2 modules _ Alinity-i (Abbott)</v>
      </c>
      <c r="R403" s="286"/>
    </row>
    <row r="404" spans="1:18" ht="38.25" x14ac:dyDescent="0.2">
      <c r="A404" s="22" t="s">
        <v>20</v>
      </c>
      <c r="B404" s="22" t="s">
        <v>939</v>
      </c>
      <c r="C404" s="22" t="s">
        <v>22</v>
      </c>
      <c r="D404" s="22" t="s">
        <v>213</v>
      </c>
      <c r="E404" s="22" t="s">
        <v>969</v>
      </c>
      <c r="F404" s="22" t="s">
        <v>951</v>
      </c>
      <c r="G404" s="22" t="s">
        <v>247</v>
      </c>
      <c r="H404" s="22" t="s">
        <v>27</v>
      </c>
      <c r="I404" s="22" t="s">
        <v>28</v>
      </c>
      <c r="J404" s="74">
        <v>1</v>
      </c>
      <c r="K404" s="22" t="s">
        <v>248</v>
      </c>
      <c r="L404" s="22" t="s">
        <v>970</v>
      </c>
      <c r="M404" s="41"/>
      <c r="N404" s="22" t="s">
        <v>251</v>
      </c>
      <c r="O404" s="74" t="s">
        <v>31</v>
      </c>
      <c r="P404" s="41">
        <v>1078</v>
      </c>
      <c r="Q404" s="18" t="str">
        <f t="shared" si="6"/>
        <v>BM MG01 _ A _ Chemiluminescence (CMIA) _ Quantitatif _ Automatisée _ 1 _ Alinity-i (Abbott)</v>
      </c>
      <c r="R404" s="286"/>
    </row>
    <row r="405" spans="1:18" ht="38.25" x14ac:dyDescent="0.2">
      <c r="A405" s="22" t="s">
        <v>20</v>
      </c>
      <c r="B405" s="22" t="s">
        <v>939</v>
      </c>
      <c r="C405" s="22" t="s">
        <v>22</v>
      </c>
      <c r="D405" s="22" t="s">
        <v>213</v>
      </c>
      <c r="E405" s="22" t="s">
        <v>971</v>
      </c>
      <c r="F405" s="22" t="s">
        <v>951</v>
      </c>
      <c r="G405" s="22" t="s">
        <v>247</v>
      </c>
      <c r="H405" s="22" t="s">
        <v>27</v>
      </c>
      <c r="I405" s="22" t="s">
        <v>28</v>
      </c>
      <c r="J405" s="74" t="s">
        <v>952</v>
      </c>
      <c r="K405" s="22" t="s">
        <v>248</v>
      </c>
      <c r="L405" s="22" t="s">
        <v>972</v>
      </c>
      <c r="M405" s="41"/>
      <c r="N405" s="22" t="s">
        <v>251</v>
      </c>
      <c r="O405" s="74" t="s">
        <v>31</v>
      </c>
      <c r="P405" s="41">
        <v>1569</v>
      </c>
      <c r="Q405" s="18" t="str">
        <f t="shared" si="6"/>
        <v>BM MG01 _ A _ Chemiluminescence (CMIA) _ Quantitatif _ Automatisée _ 2 modules _ Alinity-i (Abbott)</v>
      </c>
      <c r="R405" s="286"/>
    </row>
    <row r="406" spans="1:18" ht="38.25" x14ac:dyDescent="0.2">
      <c r="A406" s="22" t="s">
        <v>20</v>
      </c>
      <c r="B406" s="22" t="s">
        <v>939</v>
      </c>
      <c r="C406" s="22" t="s">
        <v>22</v>
      </c>
      <c r="D406" s="22" t="s">
        <v>213</v>
      </c>
      <c r="E406" s="22" t="s">
        <v>973</v>
      </c>
      <c r="F406" s="22" t="s">
        <v>951</v>
      </c>
      <c r="G406" s="22" t="s">
        <v>247</v>
      </c>
      <c r="H406" s="22" t="s">
        <v>27</v>
      </c>
      <c r="I406" s="22" t="s">
        <v>28</v>
      </c>
      <c r="J406" s="74" t="s">
        <v>952</v>
      </c>
      <c r="K406" s="22" t="s">
        <v>248</v>
      </c>
      <c r="L406" s="22" t="s">
        <v>974</v>
      </c>
      <c r="M406" s="41"/>
      <c r="N406" s="22" t="s">
        <v>251</v>
      </c>
      <c r="O406" s="74" t="s">
        <v>31</v>
      </c>
      <c r="P406" s="41">
        <v>18330</v>
      </c>
      <c r="Q406" s="18" t="str">
        <f t="shared" si="6"/>
        <v>BM MG01 _ A _ Chemiluminescence (CMIA) _ Quantitatif _ Automatisée _ 2 modules _ Alinity-i (Abbott)</v>
      </c>
      <c r="R406" s="286"/>
    </row>
    <row r="407" spans="1:18" ht="38.25" x14ac:dyDescent="0.2">
      <c r="A407" s="22" t="s">
        <v>20</v>
      </c>
      <c r="B407" s="22" t="s">
        <v>939</v>
      </c>
      <c r="C407" s="22" t="s">
        <v>22</v>
      </c>
      <c r="D407" s="22" t="s">
        <v>213</v>
      </c>
      <c r="E407" s="22" t="s">
        <v>975</v>
      </c>
      <c r="F407" s="22" t="s">
        <v>951</v>
      </c>
      <c r="G407" s="22" t="s">
        <v>976</v>
      </c>
      <c r="H407" s="22" t="s">
        <v>27</v>
      </c>
      <c r="I407" s="22" t="s">
        <v>28</v>
      </c>
      <c r="J407" s="74" t="s">
        <v>952</v>
      </c>
      <c r="K407" s="22" t="s">
        <v>248</v>
      </c>
      <c r="L407" s="22" t="s">
        <v>974</v>
      </c>
      <c r="M407" s="41"/>
      <c r="N407" s="22" t="s">
        <v>251</v>
      </c>
      <c r="O407" s="74" t="s">
        <v>31</v>
      </c>
      <c r="P407" s="41">
        <v>77</v>
      </c>
      <c r="Q407" s="18" t="str">
        <f t="shared" si="6"/>
        <v>BM MG01 _ A _ chemiluminescence (CMIA) _ Quantitatif _ Automatisée _ 2 modules _ Alinity-i (Abbott)</v>
      </c>
      <c r="R407" s="286"/>
    </row>
    <row r="408" spans="1:18" ht="38.25" x14ac:dyDescent="0.2">
      <c r="A408" s="14" t="s">
        <v>20</v>
      </c>
      <c r="B408" s="19" t="s">
        <v>939</v>
      </c>
      <c r="C408" s="19" t="s">
        <v>22</v>
      </c>
      <c r="D408" s="19" t="s">
        <v>213</v>
      </c>
      <c r="E408" s="14" t="s">
        <v>977</v>
      </c>
      <c r="F408" s="19" t="s">
        <v>951</v>
      </c>
      <c r="G408" s="19" t="s">
        <v>247</v>
      </c>
      <c r="H408" s="19" t="s">
        <v>27</v>
      </c>
      <c r="I408" s="19" t="s">
        <v>28</v>
      </c>
      <c r="J408" s="74" t="s">
        <v>952</v>
      </c>
      <c r="K408" s="22" t="s">
        <v>248</v>
      </c>
      <c r="L408" s="22" t="s">
        <v>978</v>
      </c>
      <c r="M408" s="41"/>
      <c r="N408" s="14" t="s">
        <v>251</v>
      </c>
      <c r="O408" s="16" t="s">
        <v>31</v>
      </c>
      <c r="P408" s="41">
        <v>20997</v>
      </c>
      <c r="Q408" s="18" t="str">
        <f t="shared" si="6"/>
        <v>BM MG01 _ A _ Chemiluminescence (CMIA) _ Quantitatif _ Automatisée _ 2 modules _ Alinity-i (Abbott)</v>
      </c>
      <c r="R408" s="286"/>
    </row>
    <row r="409" spans="1:18" ht="38.25" x14ac:dyDescent="0.2">
      <c r="A409" s="14" t="s">
        <v>20</v>
      </c>
      <c r="B409" s="19" t="s">
        <v>939</v>
      </c>
      <c r="C409" s="19" t="s">
        <v>22</v>
      </c>
      <c r="D409" s="19" t="s">
        <v>213</v>
      </c>
      <c r="E409" s="14" t="s">
        <v>979</v>
      </c>
      <c r="F409" s="19" t="s">
        <v>951</v>
      </c>
      <c r="G409" s="19" t="s">
        <v>247</v>
      </c>
      <c r="H409" s="19" t="s">
        <v>27</v>
      </c>
      <c r="I409" s="19" t="s">
        <v>28</v>
      </c>
      <c r="J409" s="74">
        <v>1</v>
      </c>
      <c r="K409" s="22" t="s">
        <v>248</v>
      </c>
      <c r="L409" s="22" t="s">
        <v>980</v>
      </c>
      <c r="M409" s="41"/>
      <c r="N409" s="14" t="s">
        <v>251</v>
      </c>
      <c r="O409" s="16" t="s">
        <v>31</v>
      </c>
      <c r="P409" s="41">
        <v>257</v>
      </c>
      <c r="Q409" s="18" t="str">
        <f t="shared" si="6"/>
        <v>BM MG01 _ A _ Chemiluminescence (CMIA) _ Quantitatif _ Automatisée _ 1 _ Alinity-i (Abbott)</v>
      </c>
      <c r="R409" s="286"/>
    </row>
    <row r="410" spans="1:18" ht="38.25" x14ac:dyDescent="0.2">
      <c r="A410" s="14" t="s">
        <v>20</v>
      </c>
      <c r="B410" s="19" t="s">
        <v>939</v>
      </c>
      <c r="C410" s="19" t="s">
        <v>22</v>
      </c>
      <c r="D410" s="19" t="s">
        <v>213</v>
      </c>
      <c r="E410" s="14" t="s">
        <v>981</v>
      </c>
      <c r="F410" s="19" t="s">
        <v>951</v>
      </c>
      <c r="G410" s="19" t="s">
        <v>247</v>
      </c>
      <c r="H410" s="19" t="s">
        <v>27</v>
      </c>
      <c r="I410" s="19" t="s">
        <v>28</v>
      </c>
      <c r="J410" s="74">
        <v>1</v>
      </c>
      <c r="K410" s="22" t="s">
        <v>248</v>
      </c>
      <c r="L410" s="22" t="s">
        <v>982</v>
      </c>
      <c r="M410" s="41"/>
      <c r="N410" s="14" t="s">
        <v>251</v>
      </c>
      <c r="O410" s="16" t="s">
        <v>31</v>
      </c>
      <c r="P410" s="41">
        <v>259</v>
      </c>
      <c r="Q410" s="18" t="str">
        <f t="shared" si="6"/>
        <v>BM MG01 _ A _ Chemiluminescence (CMIA) _ Quantitatif _ Automatisée _ 1 _ Alinity-i (Abbott)</v>
      </c>
      <c r="R410" s="286"/>
    </row>
    <row r="411" spans="1:18" ht="38.25" x14ac:dyDescent="0.2">
      <c r="A411" s="14" t="s">
        <v>20</v>
      </c>
      <c r="B411" s="19" t="s">
        <v>939</v>
      </c>
      <c r="C411" s="19" t="s">
        <v>22</v>
      </c>
      <c r="D411" s="19" t="s">
        <v>213</v>
      </c>
      <c r="E411" s="14" t="s">
        <v>983</v>
      </c>
      <c r="F411" s="19" t="s">
        <v>951</v>
      </c>
      <c r="G411" s="19" t="s">
        <v>247</v>
      </c>
      <c r="H411" s="19" t="s">
        <v>27</v>
      </c>
      <c r="I411" s="19" t="s">
        <v>28</v>
      </c>
      <c r="J411" s="22" t="s">
        <v>952</v>
      </c>
      <c r="K411" s="22" t="s">
        <v>248</v>
      </c>
      <c r="L411" s="22" t="s">
        <v>984</v>
      </c>
      <c r="M411" s="41"/>
      <c r="N411" s="14" t="s">
        <v>251</v>
      </c>
      <c r="O411" s="16" t="s">
        <v>31</v>
      </c>
      <c r="P411" s="41">
        <v>17809</v>
      </c>
      <c r="Q411" s="18" t="str">
        <f t="shared" si="6"/>
        <v>BM MG01 _ A _ Chemiluminescence (CMIA) _ Quantitatif _ Automatisée _ 2 modules _ Alinity-i (Abbott)</v>
      </c>
      <c r="R411" s="286"/>
    </row>
    <row r="412" spans="1:18" ht="38.25" x14ac:dyDescent="0.2">
      <c r="A412" s="14" t="s">
        <v>20</v>
      </c>
      <c r="B412" s="19" t="s">
        <v>939</v>
      </c>
      <c r="C412" s="19" t="s">
        <v>22</v>
      </c>
      <c r="D412" s="19" t="s">
        <v>213</v>
      </c>
      <c r="E412" s="14" t="s">
        <v>985</v>
      </c>
      <c r="F412" s="19" t="s">
        <v>951</v>
      </c>
      <c r="G412" s="19" t="s">
        <v>247</v>
      </c>
      <c r="H412" s="19" t="s">
        <v>27</v>
      </c>
      <c r="I412" s="19" t="s">
        <v>28</v>
      </c>
      <c r="J412" s="22">
        <v>1</v>
      </c>
      <c r="K412" s="22" t="s">
        <v>248</v>
      </c>
      <c r="L412" s="22" t="s">
        <v>986</v>
      </c>
      <c r="M412" s="41"/>
      <c r="N412" s="14" t="s">
        <v>251</v>
      </c>
      <c r="O412" s="16" t="s">
        <v>31</v>
      </c>
      <c r="P412" s="41">
        <v>261</v>
      </c>
      <c r="Q412" s="18" t="str">
        <f t="shared" si="6"/>
        <v>BM MG01 _ A _ Chemiluminescence (CMIA) _ Quantitatif _ Automatisée _ 1 _ Alinity-i (Abbott)</v>
      </c>
      <c r="R412" s="286"/>
    </row>
    <row r="413" spans="1:18" ht="38.25" x14ac:dyDescent="0.2">
      <c r="A413" s="22" t="s">
        <v>20</v>
      </c>
      <c r="B413" s="22" t="s">
        <v>939</v>
      </c>
      <c r="C413" s="22" t="s">
        <v>22</v>
      </c>
      <c r="D413" s="22" t="s">
        <v>213</v>
      </c>
      <c r="E413" s="22" t="s">
        <v>987</v>
      </c>
      <c r="F413" s="22" t="s">
        <v>951</v>
      </c>
      <c r="G413" s="22" t="s">
        <v>247</v>
      </c>
      <c r="H413" s="22" t="s">
        <v>27</v>
      </c>
      <c r="I413" s="22" t="s">
        <v>28</v>
      </c>
      <c r="J413" s="74" t="s">
        <v>952</v>
      </c>
      <c r="K413" s="22" t="s">
        <v>248</v>
      </c>
      <c r="L413" s="22" t="s">
        <v>988</v>
      </c>
      <c r="M413" s="41"/>
      <c r="N413" s="22" t="s">
        <v>251</v>
      </c>
      <c r="O413" s="74" t="s">
        <v>31</v>
      </c>
      <c r="P413" s="41">
        <v>18971</v>
      </c>
      <c r="Q413" s="18" t="str">
        <f t="shared" si="6"/>
        <v>BM MG01 _ A _ Chemiluminescence (CMIA) _ Quantitatif _ Automatisée _ 2 modules _ Alinity-i (Abbott)</v>
      </c>
      <c r="R413" s="286"/>
    </row>
    <row r="414" spans="1:18" ht="38.25" x14ac:dyDescent="0.2">
      <c r="A414" s="22" t="s">
        <v>20</v>
      </c>
      <c r="B414" s="22" t="s">
        <v>939</v>
      </c>
      <c r="C414" s="22" t="s">
        <v>69</v>
      </c>
      <c r="D414" s="22" t="s">
        <v>213</v>
      </c>
      <c r="E414" s="22" t="s">
        <v>989</v>
      </c>
      <c r="F414" s="22" t="s">
        <v>25</v>
      </c>
      <c r="G414" s="22" t="s">
        <v>247</v>
      </c>
      <c r="H414" s="22" t="s">
        <v>27</v>
      </c>
      <c r="I414" s="22" t="s">
        <v>28</v>
      </c>
      <c r="J414" s="74" t="s">
        <v>952</v>
      </c>
      <c r="K414" s="22" t="s">
        <v>248</v>
      </c>
      <c r="L414" s="22" t="s">
        <v>990</v>
      </c>
      <c r="M414" s="41"/>
      <c r="N414" s="22" t="s">
        <v>251</v>
      </c>
      <c r="O414" s="74" t="s">
        <v>31</v>
      </c>
      <c r="P414" s="41">
        <v>4058</v>
      </c>
      <c r="Q414" s="18" t="str">
        <f t="shared" si="6"/>
        <v>BM MG01 _ A _ Chemiluminescence (CMIA) _ Quantitatif _ Automatisée _ 2 modules _ Alinity-i (Abbott)</v>
      </c>
      <c r="R414" s="286"/>
    </row>
    <row r="415" spans="1:18" ht="38.25" x14ac:dyDescent="0.2">
      <c r="A415" s="22" t="s">
        <v>20</v>
      </c>
      <c r="B415" s="22" t="s">
        <v>939</v>
      </c>
      <c r="C415" s="22" t="s">
        <v>69</v>
      </c>
      <c r="D415" s="22" t="s">
        <v>213</v>
      </c>
      <c r="E415" s="22" t="s">
        <v>991</v>
      </c>
      <c r="F415" s="22" t="s">
        <v>25</v>
      </c>
      <c r="G415" s="22" t="s">
        <v>247</v>
      </c>
      <c r="H415" s="22" t="s">
        <v>27</v>
      </c>
      <c r="I415" s="22" t="s">
        <v>28</v>
      </c>
      <c r="J415" s="74" t="s">
        <v>952</v>
      </c>
      <c r="K415" s="22" t="s">
        <v>248</v>
      </c>
      <c r="L415" s="22" t="s">
        <v>992</v>
      </c>
      <c r="M415" s="41"/>
      <c r="N415" s="22" t="s">
        <v>251</v>
      </c>
      <c r="O415" s="74" t="s">
        <v>31</v>
      </c>
      <c r="P415" s="41">
        <v>4058</v>
      </c>
      <c r="Q415" s="18" t="str">
        <f t="shared" si="6"/>
        <v>BM MG01 _ A _ Chemiluminescence (CMIA) _ Quantitatif _ Automatisée _ 2 modules _ Alinity-i (Abbott)</v>
      </c>
      <c r="R415" s="286"/>
    </row>
    <row r="416" spans="1:18" ht="38.25" x14ac:dyDescent="0.2">
      <c r="A416" s="22" t="s">
        <v>20</v>
      </c>
      <c r="B416" s="22" t="s">
        <v>939</v>
      </c>
      <c r="C416" s="22" t="s">
        <v>69</v>
      </c>
      <c r="D416" s="22" t="s">
        <v>213</v>
      </c>
      <c r="E416" s="22" t="s">
        <v>993</v>
      </c>
      <c r="F416" s="22" t="s">
        <v>25</v>
      </c>
      <c r="G416" s="22" t="s">
        <v>247</v>
      </c>
      <c r="H416" s="22" t="s">
        <v>27</v>
      </c>
      <c r="I416" s="22" t="s">
        <v>28</v>
      </c>
      <c r="J416" s="74">
        <v>1</v>
      </c>
      <c r="K416" s="22" t="s">
        <v>248</v>
      </c>
      <c r="L416" s="22" t="s">
        <v>994</v>
      </c>
      <c r="M416" s="41"/>
      <c r="N416" s="22" t="s">
        <v>251</v>
      </c>
      <c r="O416" s="74" t="s">
        <v>31</v>
      </c>
      <c r="P416" s="41">
        <v>825</v>
      </c>
      <c r="Q416" s="18" t="str">
        <f t="shared" si="6"/>
        <v>BM MG01 _ A _ Chemiluminescence (CMIA) _ Quantitatif _ Automatisée _ 1 _ Alinity-i (Abbott)</v>
      </c>
      <c r="R416" s="286"/>
    </row>
    <row r="417" spans="1:18" ht="38.25" x14ac:dyDescent="0.2">
      <c r="A417" s="14" t="s">
        <v>20</v>
      </c>
      <c r="B417" s="14" t="s">
        <v>939</v>
      </c>
      <c r="C417" s="14" t="s">
        <v>69</v>
      </c>
      <c r="D417" s="19" t="s">
        <v>213</v>
      </c>
      <c r="E417" s="14" t="s">
        <v>995</v>
      </c>
      <c r="F417" s="14" t="s">
        <v>25</v>
      </c>
      <c r="G417" s="14" t="s">
        <v>964</v>
      </c>
      <c r="H417" s="14" t="s">
        <v>27</v>
      </c>
      <c r="I417" s="14" t="s">
        <v>28</v>
      </c>
      <c r="J417" s="74">
        <v>1</v>
      </c>
      <c r="K417" s="14" t="s">
        <v>996</v>
      </c>
      <c r="L417" s="14" t="s">
        <v>997</v>
      </c>
      <c r="M417" s="14"/>
      <c r="N417" s="14" t="s">
        <v>251</v>
      </c>
      <c r="O417" s="16" t="s">
        <v>31</v>
      </c>
      <c r="P417" s="41">
        <v>221</v>
      </c>
      <c r="Q417" s="18" t="str">
        <f t="shared" si="6"/>
        <v>BM MG01 _ A _ EIA _ Quantitatif _ Automatisée _ 1 _ Vidas</v>
      </c>
      <c r="R417" s="286"/>
    </row>
    <row r="418" spans="1:18" ht="51" x14ac:dyDescent="0.2">
      <c r="A418" s="22" t="s">
        <v>20</v>
      </c>
      <c r="B418" s="22" t="s">
        <v>939</v>
      </c>
      <c r="C418" s="22" t="s">
        <v>69</v>
      </c>
      <c r="D418" s="22" t="s">
        <v>213</v>
      </c>
      <c r="E418" s="22" t="s">
        <v>998</v>
      </c>
      <c r="F418" s="22" t="s">
        <v>25</v>
      </c>
      <c r="G418" s="22" t="s">
        <v>999</v>
      </c>
      <c r="H418" s="22" t="s">
        <v>27</v>
      </c>
      <c r="I418" s="22" t="s">
        <v>28</v>
      </c>
      <c r="J418" s="74" t="s">
        <v>952</v>
      </c>
      <c r="K418" s="22" t="s">
        <v>248</v>
      </c>
      <c r="L418" s="22" t="s">
        <v>1000</v>
      </c>
      <c r="M418" s="41"/>
      <c r="N418" s="22" t="s">
        <v>251</v>
      </c>
      <c r="O418" s="74" t="s">
        <v>31</v>
      </c>
      <c r="P418" s="41">
        <v>18</v>
      </c>
      <c r="Q418" s="18" t="str">
        <f t="shared" si="6"/>
        <v>BM MG01 _ A _ Immuno-enzymatique (ELISA et dérivées) _ Quantitatif _ Automatisée _ 2 modules _ Alinity-i (Abbott)</v>
      </c>
      <c r="R418" s="286"/>
    </row>
    <row r="419" spans="1:18" ht="51" x14ac:dyDescent="0.2">
      <c r="A419" s="22" t="s">
        <v>20</v>
      </c>
      <c r="B419" s="22" t="s">
        <v>939</v>
      </c>
      <c r="C419" s="22" t="s">
        <v>69</v>
      </c>
      <c r="D419" s="22" t="s">
        <v>213</v>
      </c>
      <c r="E419" s="22" t="s">
        <v>1001</v>
      </c>
      <c r="F419" s="22" t="s">
        <v>25</v>
      </c>
      <c r="G419" s="22" t="s">
        <v>999</v>
      </c>
      <c r="H419" s="22" t="s">
        <v>27</v>
      </c>
      <c r="I419" s="22" t="s">
        <v>28</v>
      </c>
      <c r="J419" s="74" t="s">
        <v>952</v>
      </c>
      <c r="K419" s="22" t="s">
        <v>248</v>
      </c>
      <c r="L419" s="22" t="s">
        <v>1002</v>
      </c>
      <c r="M419" s="41"/>
      <c r="N419" s="22" t="s">
        <v>251</v>
      </c>
      <c r="O419" s="74" t="s">
        <v>31</v>
      </c>
      <c r="P419" s="41">
        <v>2772</v>
      </c>
      <c r="Q419" s="18" t="str">
        <f t="shared" si="6"/>
        <v>BM MG01 _ A _ Immuno-enzymatique (ELISA et dérivées) _ Quantitatif _ Automatisée _ 2 modules _ Alinity-i (Abbott)</v>
      </c>
      <c r="R419" s="286"/>
    </row>
    <row r="420" spans="1:18" ht="51" x14ac:dyDescent="0.2">
      <c r="A420" s="22" t="s">
        <v>20</v>
      </c>
      <c r="B420" s="22" t="s">
        <v>939</v>
      </c>
      <c r="C420" s="22" t="s">
        <v>69</v>
      </c>
      <c r="D420" s="22" t="s">
        <v>213</v>
      </c>
      <c r="E420" s="22" t="s">
        <v>1003</v>
      </c>
      <c r="F420" s="22" t="s">
        <v>25</v>
      </c>
      <c r="G420" s="22" t="s">
        <v>999</v>
      </c>
      <c r="H420" s="22" t="s">
        <v>27</v>
      </c>
      <c r="I420" s="22" t="s">
        <v>28</v>
      </c>
      <c r="J420" s="74">
        <v>1</v>
      </c>
      <c r="K420" s="22" t="s">
        <v>1004</v>
      </c>
      <c r="L420" s="22" t="s">
        <v>1005</v>
      </c>
      <c r="M420" s="40"/>
      <c r="N420" s="22" t="s">
        <v>251</v>
      </c>
      <c r="O420" s="74" t="s">
        <v>31</v>
      </c>
      <c r="P420" s="41">
        <v>1137</v>
      </c>
      <c r="Q420" s="18" t="str">
        <f t="shared" si="6"/>
        <v>BM MG01 _ A _ Immuno-enzymatique (ELISA et dérivées) _ Quantitatif _ Automatisée _ 1 _ Liaison XL Diasorin</v>
      </c>
      <c r="R420" s="286"/>
    </row>
    <row r="421" spans="1:18" ht="51" x14ac:dyDescent="0.2">
      <c r="A421" s="22" t="s">
        <v>20</v>
      </c>
      <c r="B421" s="22" t="s">
        <v>939</v>
      </c>
      <c r="C421" s="22" t="s">
        <v>69</v>
      </c>
      <c r="D421" s="22" t="s">
        <v>213</v>
      </c>
      <c r="E421" s="22" t="s">
        <v>1006</v>
      </c>
      <c r="F421" s="22" t="s">
        <v>25</v>
      </c>
      <c r="G421" s="22" t="s">
        <v>999</v>
      </c>
      <c r="H421" s="22" t="s">
        <v>27</v>
      </c>
      <c r="I421" s="22" t="s">
        <v>28</v>
      </c>
      <c r="J421" s="74">
        <v>1</v>
      </c>
      <c r="K421" s="22" t="s">
        <v>1004</v>
      </c>
      <c r="L421" s="22" t="s">
        <v>1007</v>
      </c>
      <c r="M421" s="40"/>
      <c r="N421" s="22" t="s">
        <v>251</v>
      </c>
      <c r="O421" s="74" t="s">
        <v>31</v>
      </c>
      <c r="P421" s="41">
        <v>1137</v>
      </c>
      <c r="Q421" s="18" t="str">
        <f t="shared" si="6"/>
        <v>BM MG01 _ A _ Immuno-enzymatique (ELISA et dérivées) _ Quantitatif _ Automatisée _ 1 _ Liaison XL Diasorin</v>
      </c>
      <c r="R421" s="286"/>
    </row>
    <row r="422" spans="1:18" ht="51" x14ac:dyDescent="0.2">
      <c r="A422" s="14" t="s">
        <v>20</v>
      </c>
      <c r="B422" s="14" t="s">
        <v>939</v>
      </c>
      <c r="C422" s="14" t="s">
        <v>69</v>
      </c>
      <c r="D422" s="19" t="s">
        <v>213</v>
      </c>
      <c r="E422" s="14" t="s">
        <v>1008</v>
      </c>
      <c r="F422" s="14" t="s">
        <v>25</v>
      </c>
      <c r="G422" s="14" t="s">
        <v>999</v>
      </c>
      <c r="H422" s="14" t="s">
        <v>27</v>
      </c>
      <c r="I422" s="14" t="s">
        <v>28</v>
      </c>
      <c r="J422" s="74">
        <v>1</v>
      </c>
      <c r="K422" s="14" t="s">
        <v>1004</v>
      </c>
      <c r="L422" s="14" t="s">
        <v>1009</v>
      </c>
      <c r="M422" s="24"/>
      <c r="N422" s="14" t="s">
        <v>251</v>
      </c>
      <c r="O422" s="16" t="s">
        <v>31</v>
      </c>
      <c r="P422" s="41">
        <v>415</v>
      </c>
      <c r="Q422" s="18" t="str">
        <f t="shared" si="6"/>
        <v>BM MG01 _ A _ Immuno-enzymatique (ELISA et dérivées) _ Quantitatif _ Automatisée _ 1 _ Liaison XL Diasorin</v>
      </c>
      <c r="R422" s="286"/>
    </row>
    <row r="423" spans="1:18" ht="51" x14ac:dyDescent="0.2">
      <c r="A423" s="14" t="s">
        <v>20</v>
      </c>
      <c r="B423" s="14" t="s">
        <v>939</v>
      </c>
      <c r="C423" s="14" t="s">
        <v>69</v>
      </c>
      <c r="D423" s="19" t="s">
        <v>213</v>
      </c>
      <c r="E423" s="14" t="s">
        <v>1010</v>
      </c>
      <c r="F423" s="14" t="s">
        <v>25</v>
      </c>
      <c r="G423" s="14" t="s">
        <v>999</v>
      </c>
      <c r="H423" s="14" t="s">
        <v>27</v>
      </c>
      <c r="I423" s="14" t="s">
        <v>28</v>
      </c>
      <c r="J423" s="74">
        <v>1</v>
      </c>
      <c r="K423" s="14" t="s">
        <v>1004</v>
      </c>
      <c r="L423" s="14" t="s">
        <v>1011</v>
      </c>
      <c r="M423" s="24"/>
      <c r="N423" s="14" t="s">
        <v>251</v>
      </c>
      <c r="O423" s="16" t="s">
        <v>31</v>
      </c>
      <c r="P423" s="41">
        <v>114</v>
      </c>
      <c r="Q423" s="18" t="str">
        <f t="shared" si="6"/>
        <v>BM MG01 _ A _ Immuno-enzymatique (ELISA et dérivées) _ Quantitatif _ Automatisée _ 1 _ Liaison XL Diasorin</v>
      </c>
      <c r="R423" s="286"/>
    </row>
    <row r="424" spans="1:18" ht="51" x14ac:dyDescent="0.2">
      <c r="A424" s="14" t="s">
        <v>20</v>
      </c>
      <c r="B424" s="14" t="s">
        <v>939</v>
      </c>
      <c r="C424" s="14" t="s">
        <v>69</v>
      </c>
      <c r="D424" s="19" t="s">
        <v>213</v>
      </c>
      <c r="E424" s="14" t="s">
        <v>1012</v>
      </c>
      <c r="F424" s="14" t="s">
        <v>25</v>
      </c>
      <c r="G424" s="14" t="s">
        <v>999</v>
      </c>
      <c r="H424" s="14" t="s">
        <v>27</v>
      </c>
      <c r="I424" s="14" t="s">
        <v>28</v>
      </c>
      <c r="J424" s="74">
        <v>1</v>
      </c>
      <c r="K424" s="14" t="s">
        <v>1004</v>
      </c>
      <c r="L424" s="14" t="s">
        <v>1013</v>
      </c>
      <c r="M424" s="24"/>
      <c r="N424" s="14" t="s">
        <v>251</v>
      </c>
      <c r="O424" s="16" t="s">
        <v>31</v>
      </c>
      <c r="P424" s="41">
        <v>1157</v>
      </c>
      <c r="Q424" s="18" t="str">
        <f t="shared" si="6"/>
        <v>BM MG01 _ A _ Immuno-enzymatique (ELISA et dérivées) _ Quantitatif _ Automatisée _ 1 _ Liaison XL Diasorin</v>
      </c>
      <c r="R424" s="286"/>
    </row>
    <row r="425" spans="1:18" ht="38.25" x14ac:dyDescent="0.2">
      <c r="A425" s="14" t="s">
        <v>20</v>
      </c>
      <c r="B425" s="14" t="s">
        <v>939</v>
      </c>
      <c r="C425" s="14" t="s">
        <v>69</v>
      </c>
      <c r="D425" s="19" t="s">
        <v>213</v>
      </c>
      <c r="E425" s="14" t="s">
        <v>1014</v>
      </c>
      <c r="F425" s="14" t="s">
        <v>25</v>
      </c>
      <c r="G425" s="14" t="s">
        <v>1015</v>
      </c>
      <c r="H425" s="14" t="s">
        <v>27</v>
      </c>
      <c r="I425" s="14" t="s">
        <v>28</v>
      </c>
      <c r="J425" s="16">
        <v>1</v>
      </c>
      <c r="K425" s="14" t="s">
        <v>1004</v>
      </c>
      <c r="L425" s="14" t="s">
        <v>1016</v>
      </c>
      <c r="M425" s="24"/>
      <c r="N425" s="14" t="s">
        <v>251</v>
      </c>
      <c r="O425" s="16" t="s">
        <v>31</v>
      </c>
      <c r="P425" s="41">
        <v>1157</v>
      </c>
      <c r="Q425" s="18" t="str">
        <f t="shared" si="6"/>
        <v>BM MG01 _ A _ Immunoluminométrie (CLIA) _ Quantitatif _ Automatisée _ 1 _ Liaison XL Diasorin</v>
      </c>
      <c r="R425" s="286"/>
    </row>
    <row r="426" spans="1:18" ht="51" x14ac:dyDescent="0.2">
      <c r="A426" s="14" t="s">
        <v>20</v>
      </c>
      <c r="B426" s="14" t="s">
        <v>939</v>
      </c>
      <c r="C426" s="14" t="s">
        <v>69</v>
      </c>
      <c r="D426" s="19" t="s">
        <v>213</v>
      </c>
      <c r="E426" s="20" t="s">
        <v>1017</v>
      </c>
      <c r="F426" s="14" t="s">
        <v>25</v>
      </c>
      <c r="G426" s="14" t="s">
        <v>999</v>
      </c>
      <c r="H426" s="14" t="s">
        <v>27</v>
      </c>
      <c r="I426" s="14" t="s">
        <v>28</v>
      </c>
      <c r="J426" s="74">
        <v>1</v>
      </c>
      <c r="K426" s="14" t="s">
        <v>1004</v>
      </c>
      <c r="L426" s="14" t="s">
        <v>1625</v>
      </c>
      <c r="M426" s="274" t="s">
        <v>1674</v>
      </c>
      <c r="N426" s="14" t="s">
        <v>251</v>
      </c>
      <c r="O426" s="16" t="s">
        <v>31</v>
      </c>
      <c r="P426" s="41">
        <v>1638</v>
      </c>
      <c r="Q426" s="18" t="str">
        <f t="shared" si="6"/>
        <v>BM MG01 _ A _ Immuno-enzymatique (ELISA et dérivées) _ Quantitatif _ Automatisée _ 1 _ Liaison XL Diasorin</v>
      </c>
      <c r="R426" s="286"/>
    </row>
    <row r="427" spans="1:18" ht="51" x14ac:dyDescent="0.2">
      <c r="A427" s="14" t="s">
        <v>20</v>
      </c>
      <c r="B427" s="14" t="s">
        <v>939</v>
      </c>
      <c r="C427" s="14" t="s">
        <v>69</v>
      </c>
      <c r="D427" s="19" t="s">
        <v>213</v>
      </c>
      <c r="E427" s="14" t="s">
        <v>1018</v>
      </c>
      <c r="F427" s="14" t="s">
        <v>25</v>
      </c>
      <c r="G427" s="14" t="s">
        <v>999</v>
      </c>
      <c r="H427" s="14" t="s">
        <v>27</v>
      </c>
      <c r="I427" s="14" t="s">
        <v>28</v>
      </c>
      <c r="J427" s="74">
        <v>1</v>
      </c>
      <c r="K427" s="14" t="s">
        <v>1004</v>
      </c>
      <c r="L427" s="14" t="s">
        <v>1019</v>
      </c>
      <c r="M427" s="24"/>
      <c r="N427" s="14" t="s">
        <v>251</v>
      </c>
      <c r="O427" s="16" t="s">
        <v>31</v>
      </c>
      <c r="P427" s="41">
        <v>543</v>
      </c>
      <c r="Q427" s="18" t="str">
        <f t="shared" si="6"/>
        <v>BM MG01 _ A _ Immuno-enzymatique (ELISA et dérivées) _ Quantitatif _ Automatisée _ 1 _ Liaison XL Diasorin</v>
      </c>
      <c r="R427" s="286"/>
    </row>
    <row r="428" spans="1:18" ht="51" x14ac:dyDescent="0.2">
      <c r="A428" s="14" t="s">
        <v>20</v>
      </c>
      <c r="B428" s="14" t="s">
        <v>939</v>
      </c>
      <c r="C428" s="14" t="s">
        <v>69</v>
      </c>
      <c r="D428" s="19" t="s">
        <v>213</v>
      </c>
      <c r="E428" s="14" t="s">
        <v>1020</v>
      </c>
      <c r="F428" s="14" t="s">
        <v>25</v>
      </c>
      <c r="G428" s="14" t="s">
        <v>999</v>
      </c>
      <c r="H428" s="14" t="s">
        <v>27</v>
      </c>
      <c r="I428" s="14" t="s">
        <v>28</v>
      </c>
      <c r="J428" s="74">
        <v>1</v>
      </c>
      <c r="K428" s="14" t="s">
        <v>1004</v>
      </c>
      <c r="L428" s="14" t="s">
        <v>1021</v>
      </c>
      <c r="M428" s="24"/>
      <c r="N428" s="14" t="s">
        <v>251</v>
      </c>
      <c r="O428" s="63" t="s">
        <v>31</v>
      </c>
      <c r="P428" s="41">
        <v>159</v>
      </c>
      <c r="Q428" s="18" t="str">
        <f t="shared" si="6"/>
        <v>BM MG01 _ A _ Immuno-enzymatique (ELISA et dérivées) _ Quantitatif _ Automatisée _ 1 _ Liaison XL Diasorin</v>
      </c>
      <c r="R428" s="286"/>
    </row>
    <row r="429" spans="1:18" ht="51" x14ac:dyDescent="0.2">
      <c r="A429" s="14" t="s">
        <v>20</v>
      </c>
      <c r="B429" s="14" t="s">
        <v>939</v>
      </c>
      <c r="C429" s="14" t="s">
        <v>69</v>
      </c>
      <c r="D429" s="19" t="s">
        <v>213</v>
      </c>
      <c r="E429" s="14" t="s">
        <v>1022</v>
      </c>
      <c r="F429" s="14" t="s">
        <v>25</v>
      </c>
      <c r="G429" s="14" t="s">
        <v>999</v>
      </c>
      <c r="H429" s="14" t="s">
        <v>27</v>
      </c>
      <c r="I429" s="14" t="s">
        <v>28</v>
      </c>
      <c r="J429" s="74">
        <v>1</v>
      </c>
      <c r="K429" s="14" t="s">
        <v>1004</v>
      </c>
      <c r="L429" s="14" t="s">
        <v>1023</v>
      </c>
      <c r="M429" s="24"/>
      <c r="N429" s="14" t="s">
        <v>251</v>
      </c>
      <c r="O429" s="16" t="s">
        <v>31</v>
      </c>
      <c r="P429" s="41">
        <v>310</v>
      </c>
      <c r="Q429" s="18" t="str">
        <f t="shared" si="6"/>
        <v>BM MG01 _ A _ Immuno-enzymatique (ELISA et dérivées) _ Quantitatif _ Automatisée _ 1 _ Liaison XL Diasorin</v>
      </c>
      <c r="R429" s="286"/>
    </row>
    <row r="430" spans="1:18" ht="51" x14ac:dyDescent="0.2">
      <c r="A430" s="17" t="s">
        <v>20</v>
      </c>
      <c r="B430" s="17" t="s">
        <v>939</v>
      </c>
      <c r="C430" s="17" t="s">
        <v>69</v>
      </c>
      <c r="D430" s="112" t="s">
        <v>213</v>
      </c>
      <c r="E430" s="41" t="s">
        <v>1642</v>
      </c>
      <c r="F430" s="41" t="s">
        <v>25</v>
      </c>
      <c r="G430" s="41" t="s">
        <v>999</v>
      </c>
      <c r="H430" s="41" t="s">
        <v>27</v>
      </c>
      <c r="I430" s="41" t="s">
        <v>28</v>
      </c>
      <c r="J430" s="102">
        <v>1</v>
      </c>
      <c r="K430" s="41" t="s">
        <v>1004</v>
      </c>
      <c r="L430" s="41" t="s">
        <v>1643</v>
      </c>
      <c r="M430" s="274" t="s">
        <v>1495</v>
      </c>
      <c r="N430" s="17" t="s">
        <v>251</v>
      </c>
      <c r="O430" s="271" t="s">
        <v>31</v>
      </c>
      <c r="P430" s="41">
        <v>951</v>
      </c>
      <c r="Q430" s="18" t="str">
        <f t="shared" si="6"/>
        <v>BM MG01 _ A _ Immuno-enzymatique (ELISA et dérivées) _ Quantitatif _ Automatisée _ 1 _ Liaison XL Diasorin</v>
      </c>
      <c r="R430" s="286"/>
    </row>
    <row r="431" spans="1:18" ht="38.25" x14ac:dyDescent="0.2">
      <c r="A431" s="14" t="s">
        <v>20</v>
      </c>
      <c r="B431" s="148" t="s">
        <v>939</v>
      </c>
      <c r="C431" s="179" t="s">
        <v>22</v>
      </c>
      <c r="D431" s="180" t="s">
        <v>213</v>
      </c>
      <c r="E431" s="151" t="s">
        <v>1439</v>
      </c>
      <c r="F431" s="186" t="s">
        <v>246</v>
      </c>
      <c r="G431" s="186" t="s">
        <v>964</v>
      </c>
      <c r="H431" s="186" t="s">
        <v>1113</v>
      </c>
      <c r="I431" s="186" t="s">
        <v>1440</v>
      </c>
      <c r="J431" s="186">
        <v>1</v>
      </c>
      <c r="K431" s="186" t="s">
        <v>1441</v>
      </c>
      <c r="L431" s="186" t="s">
        <v>1442</v>
      </c>
      <c r="M431" s="161" t="s">
        <v>1491</v>
      </c>
      <c r="N431" s="17" t="s">
        <v>251</v>
      </c>
      <c r="O431" s="193" t="s">
        <v>184</v>
      </c>
      <c r="P431" s="41">
        <v>175</v>
      </c>
      <c r="Q431" s="18" t="str">
        <f t="shared" si="6"/>
        <v>BM MG01 _ B _ EIA _ quantitatif _ automatisé _ 1 _ ETI-Max 3000</v>
      </c>
      <c r="R431" s="286"/>
    </row>
    <row r="432" spans="1:18" ht="51" x14ac:dyDescent="0.2">
      <c r="A432" s="14" t="s">
        <v>20</v>
      </c>
      <c r="B432" s="14" t="s">
        <v>939</v>
      </c>
      <c r="C432" s="14" t="s">
        <v>22</v>
      </c>
      <c r="D432" s="19" t="s">
        <v>213</v>
      </c>
      <c r="E432" s="20" t="s">
        <v>1024</v>
      </c>
      <c r="F432" s="14" t="s">
        <v>928</v>
      </c>
      <c r="G432" s="14" t="s">
        <v>1025</v>
      </c>
      <c r="H432" s="14" t="s">
        <v>170</v>
      </c>
      <c r="I432" s="14" t="s">
        <v>171</v>
      </c>
      <c r="J432" s="14"/>
      <c r="K432" s="14"/>
      <c r="L432" s="14" t="s">
        <v>1026</v>
      </c>
      <c r="M432" s="14"/>
      <c r="N432" s="14" t="s">
        <v>257</v>
      </c>
      <c r="O432" s="16" t="s">
        <v>31</v>
      </c>
      <c r="P432" s="41">
        <v>1060</v>
      </c>
      <c r="Q432" s="18" t="str">
        <f t="shared" si="6"/>
        <v xml:space="preserve">BM MG03 _ A _ Immunochromatographie _ Qualitatif _ Manuelle _  _ </v>
      </c>
      <c r="R432" s="286"/>
    </row>
    <row r="433" spans="1:18" ht="153" x14ac:dyDescent="0.2">
      <c r="A433" s="14" t="s">
        <v>20</v>
      </c>
      <c r="B433" s="23" t="s">
        <v>939</v>
      </c>
      <c r="C433" s="23" t="s">
        <v>22</v>
      </c>
      <c r="D433" s="23" t="s">
        <v>1027</v>
      </c>
      <c r="E433" s="23" t="s">
        <v>1028</v>
      </c>
      <c r="F433" s="23" t="s">
        <v>1029</v>
      </c>
      <c r="G433" s="23" t="s">
        <v>1030</v>
      </c>
      <c r="H433" s="23" t="s">
        <v>1031</v>
      </c>
      <c r="I433" s="23" t="s">
        <v>28</v>
      </c>
      <c r="J433" s="111">
        <v>1</v>
      </c>
      <c r="K433" s="15" t="s">
        <v>1032</v>
      </c>
      <c r="L433" s="23" t="s">
        <v>1033</v>
      </c>
      <c r="M433" s="24"/>
      <c r="N433" s="19" t="s">
        <v>1034</v>
      </c>
      <c r="O433" s="36" t="s">
        <v>31</v>
      </c>
      <c r="P433" s="41">
        <v>334</v>
      </c>
      <c r="Q433" s="18" t="str">
        <f t="shared" si="6"/>
        <v>BM VB01 _ A _ Détection d'acides nucléiques avec ou sans amplification, après extraction et purification (hybridation, PCR, …) – Biologie moléculaire _ Quantitatif et/ou qualitatif _ Automatisée _ 1 _ Altostar (Altona)</v>
      </c>
      <c r="R433" s="286"/>
    </row>
    <row r="434" spans="1:18" ht="153" x14ac:dyDescent="0.2">
      <c r="A434" s="14" t="s">
        <v>20</v>
      </c>
      <c r="B434" s="23" t="s">
        <v>939</v>
      </c>
      <c r="C434" s="23" t="s">
        <v>22</v>
      </c>
      <c r="D434" s="23" t="s">
        <v>1027</v>
      </c>
      <c r="E434" s="23" t="s">
        <v>1035</v>
      </c>
      <c r="F434" s="23" t="s">
        <v>1036</v>
      </c>
      <c r="G434" s="23" t="s">
        <v>1030</v>
      </c>
      <c r="H434" s="23" t="s">
        <v>1031</v>
      </c>
      <c r="I434" s="23" t="s">
        <v>28</v>
      </c>
      <c r="J434" s="111">
        <v>1</v>
      </c>
      <c r="K434" s="15" t="s">
        <v>1032</v>
      </c>
      <c r="L434" s="23" t="s">
        <v>1037</v>
      </c>
      <c r="M434" s="24"/>
      <c r="N434" s="19" t="s">
        <v>1034</v>
      </c>
      <c r="O434" s="36" t="s">
        <v>31</v>
      </c>
      <c r="P434" s="41">
        <v>654</v>
      </c>
      <c r="Q434" s="18" t="str">
        <f t="shared" si="6"/>
        <v>BM VB01 _ A _ Détection d'acides nucléiques avec ou sans amplification, après extraction et purification (hybridation, PCR, …) – Biologie moléculaire _ Quantitatif et/ou qualitatif _ Automatisée _ 1 _ Altostar (Altona)</v>
      </c>
      <c r="R434" s="286"/>
    </row>
    <row r="435" spans="1:18" ht="153" x14ac:dyDescent="0.2">
      <c r="A435" s="14" t="s">
        <v>20</v>
      </c>
      <c r="B435" s="23" t="s">
        <v>939</v>
      </c>
      <c r="C435" s="23" t="s">
        <v>22</v>
      </c>
      <c r="D435" s="23" t="s">
        <v>1027</v>
      </c>
      <c r="E435" s="23" t="s">
        <v>1038</v>
      </c>
      <c r="F435" s="23" t="s">
        <v>1039</v>
      </c>
      <c r="G435" s="23" t="s">
        <v>1030</v>
      </c>
      <c r="H435" s="23" t="s">
        <v>1031</v>
      </c>
      <c r="I435" s="23" t="s">
        <v>28</v>
      </c>
      <c r="J435" s="111">
        <v>1</v>
      </c>
      <c r="K435" s="15" t="s">
        <v>1032</v>
      </c>
      <c r="L435" s="23" t="s">
        <v>1040</v>
      </c>
      <c r="M435" s="24"/>
      <c r="N435" s="19" t="s">
        <v>1034</v>
      </c>
      <c r="O435" s="36" t="s">
        <v>31</v>
      </c>
      <c r="P435" s="41">
        <v>613</v>
      </c>
      <c r="Q435" s="18" t="str">
        <f t="shared" si="6"/>
        <v>BM VB01 _ A _ Détection d'acides nucléiques avec ou sans amplification, après extraction et purification (hybridation, PCR, …) – Biologie moléculaire _ Quantitatif et/ou qualitatif _ Automatisée _ 1 _ Altostar (Altona)</v>
      </c>
      <c r="R435" s="286"/>
    </row>
    <row r="436" spans="1:18" ht="38.25" x14ac:dyDescent="0.2">
      <c r="A436" s="14" t="s">
        <v>20</v>
      </c>
      <c r="B436" s="14" t="s">
        <v>120</v>
      </c>
      <c r="C436" s="14" t="s">
        <v>22</v>
      </c>
      <c r="D436" s="25" t="s">
        <v>121</v>
      </c>
      <c r="E436" s="14" t="s">
        <v>1041</v>
      </c>
      <c r="F436" s="14" t="s">
        <v>123</v>
      </c>
      <c r="G436" s="14" t="s">
        <v>130</v>
      </c>
      <c r="H436" s="14" t="s">
        <v>27</v>
      </c>
      <c r="I436" s="14" t="s">
        <v>28</v>
      </c>
      <c r="J436" s="16">
        <v>1</v>
      </c>
      <c r="K436" s="14" t="s">
        <v>1042</v>
      </c>
      <c r="L436" s="14" t="s">
        <v>1043</v>
      </c>
      <c r="M436" s="21"/>
      <c r="N436" s="26" t="s">
        <v>125</v>
      </c>
      <c r="O436" s="16" t="s">
        <v>31</v>
      </c>
      <c r="P436" s="89">
        <v>47</v>
      </c>
      <c r="Q436" s="18" t="str">
        <f t="shared" si="6"/>
        <v>BM CB02 _ A _ Immunoenzymatique (ELFA) _ Quantitatif _ Automatisée _ 1 _ BIOMERIEUX Vidas 3</v>
      </c>
      <c r="R436" s="286"/>
    </row>
    <row r="437" spans="1:18" ht="51" x14ac:dyDescent="0.2">
      <c r="A437" s="14" t="s">
        <v>20</v>
      </c>
      <c r="B437" s="42" t="s">
        <v>120</v>
      </c>
      <c r="C437" s="42" t="s">
        <v>22</v>
      </c>
      <c r="D437" s="93" t="s">
        <v>121</v>
      </c>
      <c r="E437" s="42" t="s">
        <v>1044</v>
      </c>
      <c r="F437" s="42" t="s">
        <v>123</v>
      </c>
      <c r="G437" s="42" t="s">
        <v>1045</v>
      </c>
      <c r="H437" s="42" t="s">
        <v>27</v>
      </c>
      <c r="I437" s="42" t="s">
        <v>28</v>
      </c>
      <c r="J437" s="95">
        <v>1</v>
      </c>
      <c r="K437" s="19" t="s">
        <v>805</v>
      </c>
      <c r="L437" s="42" t="s">
        <v>1579</v>
      </c>
      <c r="M437" s="19"/>
      <c r="N437" s="113" t="s">
        <v>125</v>
      </c>
      <c r="O437" s="95" t="s">
        <v>31</v>
      </c>
      <c r="P437" s="91">
        <v>235</v>
      </c>
      <c r="Q437" s="18" t="str">
        <f t="shared" si="6"/>
        <v>BM CB02 _ A _ Mesure chronométrique par viscométrie _ Quantitatif _ Automatisée _ 1 _ STAR Max 3</v>
      </c>
      <c r="R437" s="286"/>
    </row>
    <row r="438" spans="1:18" ht="25.5" x14ac:dyDescent="0.2">
      <c r="A438" s="14" t="s">
        <v>20</v>
      </c>
      <c r="B438" s="19" t="s">
        <v>120</v>
      </c>
      <c r="C438" s="19" t="s">
        <v>22</v>
      </c>
      <c r="D438" s="19" t="s">
        <v>121</v>
      </c>
      <c r="E438" s="19" t="s">
        <v>1046</v>
      </c>
      <c r="F438" s="19" t="s">
        <v>123</v>
      </c>
      <c r="G438" s="19" t="s">
        <v>1047</v>
      </c>
      <c r="H438" s="19" t="s">
        <v>27</v>
      </c>
      <c r="I438" s="19" t="s">
        <v>28</v>
      </c>
      <c r="J438" s="16">
        <v>1</v>
      </c>
      <c r="K438" s="19" t="s">
        <v>1048</v>
      </c>
      <c r="L438" s="19" t="s">
        <v>1049</v>
      </c>
      <c r="M438" s="19"/>
      <c r="N438" s="19" t="s">
        <v>125</v>
      </c>
      <c r="O438" s="16" t="s">
        <v>184</v>
      </c>
      <c r="P438" s="27">
        <v>596</v>
      </c>
      <c r="Q438" s="18" t="str">
        <f t="shared" si="6"/>
        <v>BM CB02 _ B _ Immunoenzymatique _ Quantitatif _ Automatisée _ 1 _ Diasorin ETIMAX 3000</v>
      </c>
      <c r="R438" s="286"/>
    </row>
    <row r="439" spans="1:18" ht="25.5" x14ac:dyDescent="0.2">
      <c r="A439" s="14" t="s">
        <v>20</v>
      </c>
      <c r="B439" s="19" t="s">
        <v>120</v>
      </c>
      <c r="C439" s="19" t="s">
        <v>22</v>
      </c>
      <c r="D439" s="19" t="s">
        <v>121</v>
      </c>
      <c r="E439" s="20" t="s">
        <v>1050</v>
      </c>
      <c r="F439" s="19" t="s">
        <v>123</v>
      </c>
      <c r="G439" s="19" t="s">
        <v>1047</v>
      </c>
      <c r="H439" s="19" t="s">
        <v>27</v>
      </c>
      <c r="I439" s="19" t="s">
        <v>28</v>
      </c>
      <c r="J439" s="16">
        <v>1</v>
      </c>
      <c r="K439" s="19" t="s">
        <v>1048</v>
      </c>
      <c r="L439" s="19" t="s">
        <v>1051</v>
      </c>
      <c r="M439" s="19"/>
      <c r="N439" s="19" t="s">
        <v>125</v>
      </c>
      <c r="O439" s="16" t="s">
        <v>184</v>
      </c>
      <c r="P439" s="91">
        <v>592</v>
      </c>
      <c r="Q439" s="18" t="str">
        <f t="shared" si="6"/>
        <v>BM CB02 _ B _ Immunoenzymatique _ Quantitatif _ Automatisée _ 1 _ Diasorin ETIMAX 3000</v>
      </c>
      <c r="R439" s="286"/>
    </row>
    <row r="440" spans="1:18" ht="25.5" x14ac:dyDescent="0.2">
      <c r="A440" s="14" t="s">
        <v>20</v>
      </c>
      <c r="B440" s="19" t="s">
        <v>120</v>
      </c>
      <c r="C440" s="19" t="s">
        <v>22</v>
      </c>
      <c r="D440" s="19" t="s">
        <v>121</v>
      </c>
      <c r="E440" s="19" t="s">
        <v>1052</v>
      </c>
      <c r="F440" s="19" t="s">
        <v>123</v>
      </c>
      <c r="G440" s="19" t="s">
        <v>127</v>
      </c>
      <c r="H440" s="19" t="s">
        <v>27</v>
      </c>
      <c r="I440" s="19" t="s">
        <v>28</v>
      </c>
      <c r="J440" s="16">
        <v>1</v>
      </c>
      <c r="K440" s="19" t="s">
        <v>805</v>
      </c>
      <c r="L440" s="19" t="s">
        <v>1550</v>
      </c>
      <c r="M440" s="112"/>
      <c r="N440" s="19" t="s">
        <v>125</v>
      </c>
      <c r="O440" s="16" t="s">
        <v>184</v>
      </c>
      <c r="P440" s="27">
        <v>528</v>
      </c>
      <c r="Q440" s="18" t="str">
        <f t="shared" si="6"/>
        <v>BM CB02 _ B _ Chronométrie _ Quantitatif _ Automatisée _ 1 _ STAR Max 3</v>
      </c>
      <c r="R440" s="286"/>
    </row>
    <row r="441" spans="1:18" ht="25.5" x14ac:dyDescent="0.2">
      <c r="A441" s="14" t="s">
        <v>20</v>
      </c>
      <c r="B441" s="14" t="s">
        <v>120</v>
      </c>
      <c r="C441" s="14" t="s">
        <v>22</v>
      </c>
      <c r="D441" s="25" t="s">
        <v>121</v>
      </c>
      <c r="E441" s="14" t="s">
        <v>1053</v>
      </c>
      <c r="F441" s="14" t="s">
        <v>123</v>
      </c>
      <c r="G441" s="14" t="s">
        <v>127</v>
      </c>
      <c r="H441" s="14" t="s">
        <v>27</v>
      </c>
      <c r="I441" s="14" t="s">
        <v>28</v>
      </c>
      <c r="J441" s="16">
        <v>1</v>
      </c>
      <c r="K441" s="19" t="s">
        <v>805</v>
      </c>
      <c r="L441" s="14" t="s">
        <v>1551</v>
      </c>
      <c r="M441" s="112"/>
      <c r="N441" s="26" t="s">
        <v>125</v>
      </c>
      <c r="O441" s="16" t="s">
        <v>184</v>
      </c>
      <c r="P441" s="27">
        <v>551</v>
      </c>
      <c r="Q441" s="18" t="str">
        <f t="shared" si="6"/>
        <v>BM CB02 _ B _ Chronométrie _ Quantitatif _ Automatisée _ 1 _ STAR Max 3</v>
      </c>
      <c r="R441" s="286"/>
    </row>
    <row r="442" spans="1:18" ht="25.5" x14ac:dyDescent="0.2">
      <c r="A442" s="14" t="s">
        <v>20</v>
      </c>
      <c r="B442" s="14" t="s">
        <v>120</v>
      </c>
      <c r="C442" s="14" t="s">
        <v>22</v>
      </c>
      <c r="D442" s="25" t="s">
        <v>121</v>
      </c>
      <c r="E442" s="20" t="s">
        <v>1054</v>
      </c>
      <c r="F442" s="14" t="s">
        <v>123</v>
      </c>
      <c r="G442" s="14" t="s">
        <v>127</v>
      </c>
      <c r="H442" s="14" t="s">
        <v>27</v>
      </c>
      <c r="I442" s="14" t="s">
        <v>28</v>
      </c>
      <c r="J442" s="16">
        <v>1</v>
      </c>
      <c r="K442" s="19" t="s">
        <v>805</v>
      </c>
      <c r="L442" s="14" t="s">
        <v>1552</v>
      </c>
      <c r="M442" s="112"/>
      <c r="N442" s="26" t="s">
        <v>125</v>
      </c>
      <c r="O442" s="16" t="s">
        <v>184</v>
      </c>
      <c r="P442" s="27">
        <v>1553</v>
      </c>
      <c r="Q442" s="18" t="str">
        <f t="shared" si="6"/>
        <v>BM CB02 _ B _ Chronométrie _ Quantitatif _ Automatisée _ 1 _ STAR Max 3</v>
      </c>
      <c r="R442" s="286"/>
    </row>
    <row r="443" spans="1:18" ht="63.75" x14ac:dyDescent="0.2">
      <c r="A443" s="14" t="s">
        <v>20</v>
      </c>
      <c r="B443" s="14" t="s">
        <v>120</v>
      </c>
      <c r="C443" s="14" t="s">
        <v>22</v>
      </c>
      <c r="D443" s="14" t="s">
        <v>121</v>
      </c>
      <c r="E443" s="14" t="s">
        <v>1055</v>
      </c>
      <c r="F443" s="14" t="s">
        <v>123</v>
      </c>
      <c r="G443" s="14" t="s">
        <v>1056</v>
      </c>
      <c r="H443" s="14" t="s">
        <v>27</v>
      </c>
      <c r="I443" s="14" t="s">
        <v>28</v>
      </c>
      <c r="J443" s="16">
        <v>4</v>
      </c>
      <c r="K443" s="14" t="s">
        <v>1553</v>
      </c>
      <c r="L443" s="14" t="s">
        <v>1554</v>
      </c>
      <c r="M443" s="112"/>
      <c r="N443" s="26" t="s">
        <v>125</v>
      </c>
      <c r="O443" s="16" t="s">
        <v>184</v>
      </c>
      <c r="P443" s="27">
        <v>149</v>
      </c>
      <c r="Q443" s="18" t="str">
        <f t="shared" si="6"/>
        <v>BM CB02 _ B _ Méthode chronométrique ou chromogénique _ Quantitatif _ Automatisée _ 4 _ STAGO : STAR Max 3(voie Endogène), 2 STAR-Max Evo (voie Exogène) SYSMEX CN3500</v>
      </c>
      <c r="R443" s="286"/>
    </row>
    <row r="444" spans="1:18" ht="38.25" x14ac:dyDescent="0.2">
      <c r="A444" s="14" t="s">
        <v>20</v>
      </c>
      <c r="B444" s="14" t="s">
        <v>120</v>
      </c>
      <c r="C444" s="14" t="s">
        <v>22</v>
      </c>
      <c r="D444" s="25" t="s">
        <v>121</v>
      </c>
      <c r="E444" s="14" t="s">
        <v>1057</v>
      </c>
      <c r="F444" s="14" t="s">
        <v>123</v>
      </c>
      <c r="G444" s="14" t="s">
        <v>1058</v>
      </c>
      <c r="H444" s="14" t="s">
        <v>27</v>
      </c>
      <c r="I444" s="14" t="s">
        <v>28</v>
      </c>
      <c r="J444" s="16">
        <v>1</v>
      </c>
      <c r="K444" s="14" t="s">
        <v>809</v>
      </c>
      <c r="L444" s="14" t="s">
        <v>1059</v>
      </c>
      <c r="M444" s="14"/>
      <c r="N444" s="26" t="s">
        <v>836</v>
      </c>
      <c r="O444" s="16" t="s">
        <v>31</v>
      </c>
      <c r="P444" s="27">
        <v>1135</v>
      </c>
      <c r="Q444" s="18" t="str">
        <f t="shared" si="6"/>
        <v>BM CB06 _ A _ Dosage turbidimétrique _ Quantitatif _ Automatisée _ 1 _  SYSMEX : CN 3500</v>
      </c>
      <c r="R444" s="286"/>
    </row>
    <row r="445" spans="1:18" ht="38.25" x14ac:dyDescent="0.2">
      <c r="A445" s="14" t="s">
        <v>20</v>
      </c>
      <c r="B445" s="14" t="s">
        <v>120</v>
      </c>
      <c r="C445" s="14" t="s">
        <v>22</v>
      </c>
      <c r="D445" s="25" t="s">
        <v>121</v>
      </c>
      <c r="E445" s="20" t="s">
        <v>1060</v>
      </c>
      <c r="F445" s="14" t="s">
        <v>123</v>
      </c>
      <c r="G445" s="14" t="s">
        <v>1058</v>
      </c>
      <c r="H445" s="14" t="s">
        <v>27</v>
      </c>
      <c r="I445" s="14" t="s">
        <v>28</v>
      </c>
      <c r="J445" s="16">
        <v>1</v>
      </c>
      <c r="K445" s="14" t="s">
        <v>809</v>
      </c>
      <c r="L445" s="14" t="s">
        <v>1061</v>
      </c>
      <c r="M445" s="14"/>
      <c r="N445" s="26" t="s">
        <v>836</v>
      </c>
      <c r="O445" s="16" t="s">
        <v>31</v>
      </c>
      <c r="P445" s="42" t="s">
        <v>822</v>
      </c>
      <c r="Q445" s="18" t="str">
        <f t="shared" si="6"/>
        <v>BM CB06 _ A _ Dosage turbidimétrique _ Quantitatif _ Automatisée _ 1 _  SYSMEX : CN 3500</v>
      </c>
      <c r="R445" s="286"/>
    </row>
    <row r="446" spans="1:18" ht="25.5" x14ac:dyDescent="0.2">
      <c r="A446" s="14" t="s">
        <v>20</v>
      </c>
      <c r="B446" s="19" t="s">
        <v>120</v>
      </c>
      <c r="C446" s="19" t="s">
        <v>22</v>
      </c>
      <c r="D446" s="19" t="s">
        <v>121</v>
      </c>
      <c r="E446" s="20" t="s">
        <v>1062</v>
      </c>
      <c r="F446" s="19" t="s">
        <v>25</v>
      </c>
      <c r="G446" s="19" t="s">
        <v>50</v>
      </c>
      <c r="H446" s="19" t="s">
        <v>27</v>
      </c>
      <c r="I446" s="19" t="s">
        <v>28</v>
      </c>
      <c r="J446" s="16">
        <v>1</v>
      </c>
      <c r="K446" s="14" t="s">
        <v>816</v>
      </c>
      <c r="L446" s="19" t="s">
        <v>1063</v>
      </c>
      <c r="M446" s="19"/>
      <c r="N446" s="19" t="s">
        <v>1064</v>
      </c>
      <c r="O446" s="36" t="s">
        <v>31</v>
      </c>
      <c r="P446" s="42" t="s">
        <v>822</v>
      </c>
      <c r="Q446" s="18" t="str">
        <f t="shared" si="6"/>
        <v>BM CB07  _ A _ Colorimétrie _ Quantitatif _ Automatisée _ 1 _ SYSMEX :
CN 3500</v>
      </c>
      <c r="R446" s="286"/>
    </row>
    <row r="447" spans="1:18" ht="63.75" x14ac:dyDescent="0.2">
      <c r="A447" s="14" t="s">
        <v>20</v>
      </c>
      <c r="B447" s="14" t="s">
        <v>120</v>
      </c>
      <c r="C447" s="14" t="s">
        <v>22</v>
      </c>
      <c r="D447" s="24" t="s">
        <v>655</v>
      </c>
      <c r="E447" s="38" t="s">
        <v>1065</v>
      </c>
      <c r="F447" s="24" t="s">
        <v>123</v>
      </c>
      <c r="G447" s="24" t="s">
        <v>1066</v>
      </c>
      <c r="H447" s="24" t="s">
        <v>170</v>
      </c>
      <c r="I447" s="24" t="s">
        <v>171</v>
      </c>
      <c r="J447" s="16">
        <v>1</v>
      </c>
      <c r="K447" s="19" t="s">
        <v>1067</v>
      </c>
      <c r="L447" s="24" t="s">
        <v>1068</v>
      </c>
      <c r="M447" s="14" t="s">
        <v>1675</v>
      </c>
      <c r="N447" s="26" t="s">
        <v>661</v>
      </c>
      <c r="O447" s="16" t="s">
        <v>184</v>
      </c>
      <c r="P447" s="300">
        <v>679</v>
      </c>
      <c r="Q447" s="18" t="str">
        <f t="shared" si="6"/>
        <v>BM GC04 _ B _ PCR temps réel avec détection de fluorescence _ Qualitatif _ Manuelle _ 1 _ Automate: 7500 Fast Real-Time PCR System (Applied Biosystems®, ref 4351107)</v>
      </c>
      <c r="R447" s="286"/>
    </row>
    <row r="448" spans="1:18" ht="63.75" x14ac:dyDescent="0.2">
      <c r="A448" s="14" t="s">
        <v>20</v>
      </c>
      <c r="B448" s="14" t="s">
        <v>120</v>
      </c>
      <c r="C448" s="14" t="s">
        <v>22</v>
      </c>
      <c r="D448" s="24" t="s">
        <v>655</v>
      </c>
      <c r="E448" s="24" t="s">
        <v>1069</v>
      </c>
      <c r="F448" s="24" t="s">
        <v>123</v>
      </c>
      <c r="G448" s="24" t="s">
        <v>1066</v>
      </c>
      <c r="H448" s="24" t="s">
        <v>170</v>
      </c>
      <c r="I448" s="24" t="s">
        <v>171</v>
      </c>
      <c r="J448" s="16">
        <v>1</v>
      </c>
      <c r="K448" s="19" t="s">
        <v>1067</v>
      </c>
      <c r="L448" s="24" t="s">
        <v>1070</v>
      </c>
      <c r="M448" s="14" t="s">
        <v>1675</v>
      </c>
      <c r="N448" s="26" t="s">
        <v>661</v>
      </c>
      <c r="O448" s="16" t="s">
        <v>184</v>
      </c>
      <c r="P448" s="129">
        <v>740</v>
      </c>
      <c r="Q448" s="18" t="str">
        <f t="shared" si="6"/>
        <v>BM GC04 _ B _ PCR temps réel avec détection de fluorescence _ Qualitatif _ Manuelle _ 1 _ Automate: 7500 Fast Real-Time PCR System (Applied Biosystems®, ref 4351107)</v>
      </c>
      <c r="R448" s="286"/>
    </row>
    <row r="449" spans="1:18" ht="89.25" x14ac:dyDescent="0.2">
      <c r="A449" s="14" t="s">
        <v>20</v>
      </c>
      <c r="B449" s="19" t="s">
        <v>120</v>
      </c>
      <c r="C449" s="19" t="s">
        <v>22</v>
      </c>
      <c r="D449" s="23" t="s">
        <v>131</v>
      </c>
      <c r="E449" s="14" t="s">
        <v>1071</v>
      </c>
      <c r="F449" s="19" t="s">
        <v>25</v>
      </c>
      <c r="G449" s="14" t="s">
        <v>1072</v>
      </c>
      <c r="H449" s="14" t="s">
        <v>27</v>
      </c>
      <c r="I449" s="19" t="s">
        <v>28</v>
      </c>
      <c r="J449" s="16">
        <v>2</v>
      </c>
      <c r="K449" s="14" t="s">
        <v>1073</v>
      </c>
      <c r="L449" s="14" t="s">
        <v>141</v>
      </c>
      <c r="M449" s="231"/>
      <c r="N449" s="26" t="s">
        <v>135</v>
      </c>
      <c r="O449" s="16" t="s">
        <v>31</v>
      </c>
      <c r="P449" s="27">
        <v>18057</v>
      </c>
      <c r="Q449" s="18" t="str">
        <f t="shared" si="6"/>
        <v xml:space="preserve">BM HB01 _ A _ Mesure par cytométrie de flux de la fluorescence de l'ARN des réticulocytes. _ Quantitatif _ Automatisée _ 2 _ SYSMEX XN10 </v>
      </c>
      <c r="R449" s="286"/>
    </row>
    <row r="450" spans="1:18" ht="318.75" x14ac:dyDescent="0.2">
      <c r="A450" s="14" t="s">
        <v>20</v>
      </c>
      <c r="B450" s="19" t="s">
        <v>120</v>
      </c>
      <c r="C450" s="19" t="s">
        <v>22</v>
      </c>
      <c r="D450" s="23" t="s">
        <v>131</v>
      </c>
      <c r="E450" s="14" t="s">
        <v>1074</v>
      </c>
      <c r="F450" s="19" t="s">
        <v>25</v>
      </c>
      <c r="G450" s="14" t="s">
        <v>1075</v>
      </c>
      <c r="H450" s="14" t="s">
        <v>27</v>
      </c>
      <c r="I450" s="19" t="s">
        <v>171</v>
      </c>
      <c r="J450" s="16"/>
      <c r="K450" s="14"/>
      <c r="L450" s="14" t="s">
        <v>1076</v>
      </c>
      <c r="M450" s="21"/>
      <c r="N450" s="26" t="s">
        <v>135</v>
      </c>
      <c r="O450" s="16" t="s">
        <v>31</v>
      </c>
      <c r="P450" s="42" t="s">
        <v>1077</v>
      </c>
      <c r="Q450" s="18" t="str">
        <f t="shared" si="6"/>
        <v xml:space="preserve">BM HB01 _ A _ Identification morphologique des réticulocytes
après coloration au bleu de crésyl par
microscopie optique. Identification au
microscope (à l’aide d’un oculaire quadrillé : le
réticule) des réticulocytes colorés au bleu de
crésyl qui colore et précipite l'ARN. _ Quantitatif _ Manuelle _  _ </v>
      </c>
      <c r="R450" s="286"/>
    </row>
    <row r="451" spans="1:18" ht="89.25" x14ac:dyDescent="0.2">
      <c r="A451" s="14" t="s">
        <v>20</v>
      </c>
      <c r="B451" s="19" t="s">
        <v>120</v>
      </c>
      <c r="C451" s="19" t="s">
        <v>22</v>
      </c>
      <c r="D451" s="23" t="s">
        <v>131</v>
      </c>
      <c r="E451" s="20" t="s">
        <v>1078</v>
      </c>
      <c r="F451" s="19" t="s">
        <v>25</v>
      </c>
      <c r="G451" s="115" t="s">
        <v>1079</v>
      </c>
      <c r="H451" s="14" t="s">
        <v>170</v>
      </c>
      <c r="I451" s="116" t="s">
        <v>171</v>
      </c>
      <c r="J451" s="16"/>
      <c r="K451" s="117"/>
      <c r="L451" s="14" t="s">
        <v>1080</v>
      </c>
      <c r="M451" s="19"/>
      <c r="N451" s="26" t="s">
        <v>135</v>
      </c>
      <c r="O451" s="16" t="s">
        <v>31</v>
      </c>
      <c r="P451" s="114" t="s">
        <v>176</v>
      </c>
      <c r="Q451" s="18" t="str">
        <f t="shared" si="6"/>
        <v xml:space="preserve">BM HB01 _ A _ Compte des Plaquettes en chambre de comptage en microscopie optique _ Qualitatif _ Manuelle _  _ </v>
      </c>
      <c r="R451" s="286"/>
    </row>
    <row r="452" spans="1:18" ht="89.25" x14ac:dyDescent="0.2">
      <c r="A452" s="14" t="s">
        <v>20</v>
      </c>
      <c r="B452" s="19" t="s">
        <v>120</v>
      </c>
      <c r="C452" s="19" t="s">
        <v>22</v>
      </c>
      <c r="D452" s="23" t="s">
        <v>131</v>
      </c>
      <c r="E452" s="14" t="s">
        <v>1081</v>
      </c>
      <c r="F452" s="19" t="s">
        <v>25</v>
      </c>
      <c r="G452" s="14" t="s">
        <v>1082</v>
      </c>
      <c r="H452" s="14" t="s">
        <v>170</v>
      </c>
      <c r="I452" s="19" t="s">
        <v>171</v>
      </c>
      <c r="J452" s="16"/>
      <c r="K452" s="19"/>
      <c r="L452" s="14" t="s">
        <v>1083</v>
      </c>
      <c r="M452" s="19"/>
      <c r="N452" s="26" t="s">
        <v>135</v>
      </c>
      <c r="O452" s="16" t="s">
        <v>31</v>
      </c>
      <c r="P452" s="114" t="s">
        <v>176</v>
      </c>
      <c r="Q452" s="18" t="str">
        <f t="shared" si="6"/>
        <v xml:space="preserve">BM HB01 _ A _ Compte des Globules blancs en chambre de comptage en microscopie optique _ Qualitatif _ Manuelle _  _ </v>
      </c>
      <c r="R452" s="286"/>
    </row>
    <row r="453" spans="1:18" ht="63.75" x14ac:dyDescent="0.2">
      <c r="A453" s="14" t="s">
        <v>20</v>
      </c>
      <c r="B453" s="14" t="s">
        <v>120</v>
      </c>
      <c r="C453" s="14" t="s">
        <v>22</v>
      </c>
      <c r="D453" s="23" t="s">
        <v>131</v>
      </c>
      <c r="E453" s="14" t="s">
        <v>1084</v>
      </c>
      <c r="F453" s="14" t="s">
        <v>25</v>
      </c>
      <c r="G453" s="14" t="s">
        <v>1085</v>
      </c>
      <c r="H453" s="14" t="s">
        <v>170</v>
      </c>
      <c r="I453" s="14" t="s">
        <v>171</v>
      </c>
      <c r="J453" s="16"/>
      <c r="K453" s="14"/>
      <c r="L453" s="14" t="s">
        <v>172</v>
      </c>
      <c r="M453" s="14"/>
      <c r="N453" s="26" t="s">
        <v>135</v>
      </c>
      <c r="O453" s="16" t="s">
        <v>31</v>
      </c>
      <c r="P453" s="27">
        <v>146</v>
      </c>
      <c r="Q453" s="18" t="str">
        <f t="shared" si="6"/>
        <v xml:space="preserve">BM HB01 _ A _ Recherche de cellules de sézary sur frottis sanguin _ Qualitatif _ Manuelle _  _ </v>
      </c>
      <c r="R453" s="286"/>
    </row>
    <row r="454" spans="1:18" ht="63.75" x14ac:dyDescent="0.2">
      <c r="A454" s="14" t="s">
        <v>20</v>
      </c>
      <c r="B454" s="14" t="s">
        <v>120</v>
      </c>
      <c r="C454" s="14" t="s">
        <v>22</v>
      </c>
      <c r="D454" s="23" t="s">
        <v>131</v>
      </c>
      <c r="E454" s="14" t="s">
        <v>1086</v>
      </c>
      <c r="F454" s="14" t="s">
        <v>25</v>
      </c>
      <c r="G454" s="14" t="s">
        <v>1087</v>
      </c>
      <c r="H454" s="14" t="s">
        <v>170</v>
      </c>
      <c r="I454" s="14" t="s">
        <v>171</v>
      </c>
      <c r="J454" s="16"/>
      <c r="K454" s="14"/>
      <c r="L454" s="14" t="s">
        <v>172</v>
      </c>
      <c r="M454" s="14"/>
      <c r="N454" s="26" t="s">
        <v>135</v>
      </c>
      <c r="O454" s="16" t="s">
        <v>31</v>
      </c>
      <c r="P454" s="27">
        <v>3</v>
      </c>
      <c r="Q454" s="18" t="str">
        <f t="shared" si="6"/>
        <v xml:space="preserve">BM HB01 _ A _ Recherche de lymphocytes vacuolés sur frottis sanguin _ Qualitatif _ Manuelle _  _ </v>
      </c>
      <c r="R454" s="286"/>
    </row>
    <row r="455" spans="1:18" ht="89.25" x14ac:dyDescent="0.2">
      <c r="A455" s="14" t="s">
        <v>20</v>
      </c>
      <c r="B455" s="14" t="s">
        <v>120</v>
      </c>
      <c r="C455" s="14" t="s">
        <v>22</v>
      </c>
      <c r="D455" s="23" t="s">
        <v>131</v>
      </c>
      <c r="E455" s="14" t="s">
        <v>1088</v>
      </c>
      <c r="F455" s="14" t="s">
        <v>25</v>
      </c>
      <c r="G455" s="14" t="s">
        <v>1089</v>
      </c>
      <c r="H455" s="14" t="s">
        <v>170</v>
      </c>
      <c r="I455" s="14" t="s">
        <v>171</v>
      </c>
      <c r="J455" s="16"/>
      <c r="K455" s="14"/>
      <c r="L455" s="14" t="s">
        <v>172</v>
      </c>
      <c r="M455" s="14"/>
      <c r="N455" s="26" t="s">
        <v>135</v>
      </c>
      <c r="O455" s="16" t="s">
        <v>31</v>
      </c>
      <c r="P455" s="27">
        <v>0</v>
      </c>
      <c r="Q455" s="18" t="str">
        <f t="shared" si="6"/>
        <v xml:space="preserve">BM HB01 _ A _ Recherche au microscope d'hématies contenant des granulations basophiles. _ Qualitatif _ Manuelle _  _ </v>
      </c>
      <c r="R455" s="286"/>
    </row>
    <row r="456" spans="1:18" ht="63.75" x14ac:dyDescent="0.2">
      <c r="A456" s="14" t="s">
        <v>20</v>
      </c>
      <c r="B456" s="14" t="s">
        <v>120</v>
      </c>
      <c r="C456" s="14" t="s">
        <v>22</v>
      </c>
      <c r="D456" s="23" t="s">
        <v>131</v>
      </c>
      <c r="E456" s="14" t="s">
        <v>1090</v>
      </c>
      <c r="F456" s="14" t="s">
        <v>25</v>
      </c>
      <c r="G456" s="14" t="s">
        <v>1091</v>
      </c>
      <c r="H456" s="14" t="s">
        <v>170</v>
      </c>
      <c r="I456" s="14" t="s">
        <v>171</v>
      </c>
      <c r="J456" s="16"/>
      <c r="K456" s="14"/>
      <c r="L456" s="14" t="s">
        <v>172</v>
      </c>
      <c r="M456" s="14"/>
      <c r="N456" s="26" t="s">
        <v>135</v>
      </c>
      <c r="O456" s="16" t="s">
        <v>31</v>
      </c>
      <c r="P456" s="27">
        <v>0</v>
      </c>
      <c r="Q456" s="18" t="str">
        <f t="shared" si="6"/>
        <v xml:space="preserve">BM HB01 _ A _ Recherche de cellules atypiques sur frottis sanguin. _ Qualitatif _ Manuelle _  _ </v>
      </c>
      <c r="R456" s="286"/>
    </row>
    <row r="457" spans="1:18" ht="76.5" x14ac:dyDescent="0.2">
      <c r="A457" s="14" t="s">
        <v>20</v>
      </c>
      <c r="B457" s="14" t="s">
        <v>120</v>
      </c>
      <c r="C457" s="14" t="s">
        <v>22</v>
      </c>
      <c r="D457" s="23" t="s">
        <v>131</v>
      </c>
      <c r="E457" s="14" t="s">
        <v>1092</v>
      </c>
      <c r="F457" s="14" t="s">
        <v>123</v>
      </c>
      <c r="G457" s="14" t="s">
        <v>150</v>
      </c>
      <c r="H457" s="14" t="s">
        <v>27</v>
      </c>
      <c r="I457" s="14" t="s">
        <v>28</v>
      </c>
      <c r="J457" s="16">
        <v>3</v>
      </c>
      <c r="K457" s="14" t="s">
        <v>1093</v>
      </c>
      <c r="L457" s="14" t="s">
        <v>141</v>
      </c>
      <c r="M457" s="21"/>
      <c r="N457" s="26" t="s">
        <v>135</v>
      </c>
      <c r="O457" s="16" t="s">
        <v>31</v>
      </c>
      <c r="P457" s="160">
        <v>5</v>
      </c>
      <c r="Q457" s="18" t="str">
        <f t="shared" si="6"/>
        <v xml:space="preserve">BM HB01 _ A _ Photométrie par une dilution dans une cuve spécifique _ Quantitatif _ Automatisée _ 3 _ SYSMEX XN10; </v>
      </c>
      <c r="R457" s="286"/>
    </row>
    <row r="458" spans="1:18" ht="63.75" x14ac:dyDescent="0.2">
      <c r="A458" s="14" t="s">
        <v>20</v>
      </c>
      <c r="B458" s="162" t="s">
        <v>120</v>
      </c>
      <c r="C458" s="162" t="s">
        <v>22</v>
      </c>
      <c r="D458" s="156" t="s">
        <v>131</v>
      </c>
      <c r="E458" s="157" t="s">
        <v>1353</v>
      </c>
      <c r="F458" s="188" t="s">
        <v>25</v>
      </c>
      <c r="G458" s="188" t="s">
        <v>1354</v>
      </c>
      <c r="H458" s="188" t="s">
        <v>1341</v>
      </c>
      <c r="I458" s="188" t="s">
        <v>171</v>
      </c>
      <c r="J458" s="188"/>
      <c r="K458" s="188"/>
      <c r="L458" s="188" t="s">
        <v>1355</v>
      </c>
      <c r="M458" s="161" t="s">
        <v>1491</v>
      </c>
      <c r="N458" s="190" t="s">
        <v>135</v>
      </c>
      <c r="O458" s="191" t="s">
        <v>184</v>
      </c>
      <c r="P458" s="160">
        <v>1618</v>
      </c>
      <c r="Q458" s="18" t="str">
        <f t="shared" si="6"/>
        <v xml:space="preserve">BM HB01 _ B _ Identification morphologique après coloration  _ Quantitative _ Manuelle _  _ </v>
      </c>
      <c r="R458" s="286"/>
    </row>
    <row r="459" spans="1:18" ht="63.75" x14ac:dyDescent="0.2">
      <c r="A459" s="14" t="s">
        <v>20</v>
      </c>
      <c r="B459" s="162" t="s">
        <v>120</v>
      </c>
      <c r="C459" s="162" t="s">
        <v>22</v>
      </c>
      <c r="D459" s="156" t="s">
        <v>131</v>
      </c>
      <c r="E459" s="157" t="s">
        <v>1356</v>
      </c>
      <c r="F459" s="188" t="s">
        <v>1357</v>
      </c>
      <c r="G459" s="188" t="s">
        <v>1354</v>
      </c>
      <c r="H459" s="188" t="s">
        <v>1344</v>
      </c>
      <c r="I459" s="188" t="s">
        <v>171</v>
      </c>
      <c r="J459" s="188"/>
      <c r="K459" s="188"/>
      <c r="L459" s="188" t="s">
        <v>1358</v>
      </c>
      <c r="M459" s="161" t="s">
        <v>1491</v>
      </c>
      <c r="N459" s="190" t="s">
        <v>1359</v>
      </c>
      <c r="O459" s="191" t="s">
        <v>184</v>
      </c>
      <c r="P459" s="160">
        <v>2416</v>
      </c>
      <c r="Q459" s="18" t="str">
        <f t="shared" si="6"/>
        <v xml:space="preserve">BM HB02 _ B _ Identification morphologique après coloration  _ Qualitative _ Manuelle _  _ </v>
      </c>
      <c r="R459" s="286"/>
    </row>
    <row r="460" spans="1:18" ht="63.75" x14ac:dyDescent="0.2">
      <c r="A460" s="14" t="s">
        <v>20</v>
      </c>
      <c r="B460" s="162" t="s">
        <v>120</v>
      </c>
      <c r="C460" s="162" t="s">
        <v>22</v>
      </c>
      <c r="D460" s="156" t="s">
        <v>131</v>
      </c>
      <c r="E460" s="157" t="s">
        <v>1360</v>
      </c>
      <c r="F460" s="188" t="s">
        <v>1357</v>
      </c>
      <c r="G460" s="188" t="s">
        <v>1354</v>
      </c>
      <c r="H460" s="188" t="s">
        <v>1344</v>
      </c>
      <c r="I460" s="188" t="s">
        <v>171</v>
      </c>
      <c r="J460" s="188"/>
      <c r="K460" s="188"/>
      <c r="L460" s="188" t="s">
        <v>1358</v>
      </c>
      <c r="M460" s="161" t="s">
        <v>1491</v>
      </c>
      <c r="N460" s="190" t="s">
        <v>1359</v>
      </c>
      <c r="O460" s="191" t="s">
        <v>184</v>
      </c>
      <c r="P460" s="160">
        <v>4</v>
      </c>
      <c r="Q460" s="18" t="str">
        <f t="shared" si="6"/>
        <v xml:space="preserve">BM HB02 _ B _ Identification morphologique après coloration  _ Qualitative _ Manuelle _  _ </v>
      </c>
      <c r="R460" s="286"/>
    </row>
    <row r="461" spans="1:18" ht="63.75" x14ac:dyDescent="0.2">
      <c r="A461" s="14" t="s">
        <v>20</v>
      </c>
      <c r="B461" s="162" t="s">
        <v>120</v>
      </c>
      <c r="C461" s="162" t="s">
        <v>22</v>
      </c>
      <c r="D461" s="156" t="s">
        <v>131</v>
      </c>
      <c r="E461" s="156" t="s">
        <v>1361</v>
      </c>
      <c r="F461" s="188" t="s">
        <v>1362</v>
      </c>
      <c r="G461" s="188" t="s">
        <v>1354</v>
      </c>
      <c r="H461" s="188" t="s">
        <v>1344</v>
      </c>
      <c r="I461" s="188" t="s">
        <v>171</v>
      </c>
      <c r="J461" s="188"/>
      <c r="K461" s="188"/>
      <c r="L461" s="188" t="s">
        <v>1358</v>
      </c>
      <c r="M461" s="161" t="s">
        <v>1491</v>
      </c>
      <c r="N461" s="190" t="s">
        <v>1359</v>
      </c>
      <c r="O461" s="191" t="s">
        <v>184</v>
      </c>
      <c r="P461" s="160">
        <v>1</v>
      </c>
      <c r="Q461" s="18" t="str">
        <f t="shared" si="6"/>
        <v xml:space="preserve">BM HB02 _ B _ Identification morphologique après coloration  _ Qualitative _ Manuelle _  _ </v>
      </c>
      <c r="R461" s="286"/>
    </row>
    <row r="462" spans="1:18" ht="114.75" x14ac:dyDescent="0.2">
      <c r="A462" s="14" t="s">
        <v>20</v>
      </c>
      <c r="B462" s="162" t="s">
        <v>120</v>
      </c>
      <c r="C462" s="162" t="s">
        <v>22</v>
      </c>
      <c r="D462" s="156" t="s">
        <v>131</v>
      </c>
      <c r="E462" s="157" t="s">
        <v>1363</v>
      </c>
      <c r="F462" s="188" t="s">
        <v>25</v>
      </c>
      <c r="G462" s="188" t="s">
        <v>1364</v>
      </c>
      <c r="H462" s="188" t="s">
        <v>1344</v>
      </c>
      <c r="I462" s="188" t="s">
        <v>171</v>
      </c>
      <c r="J462" s="188"/>
      <c r="K462" s="188"/>
      <c r="L462" s="188" t="s">
        <v>1365</v>
      </c>
      <c r="M462" s="192" t="s">
        <v>1518</v>
      </c>
      <c r="N462" s="190" t="s">
        <v>1366</v>
      </c>
      <c r="O462" s="191" t="s">
        <v>184</v>
      </c>
      <c r="P462" s="160">
        <v>192</v>
      </c>
      <c r="Q462" s="18" t="str">
        <f t="shared" si="6"/>
        <v xml:space="preserve">BM HB05 _ B _ Test d’hémolyse, lecture visuelle _ Qualitative _ Manuelle _  _ </v>
      </c>
      <c r="R462" s="286"/>
    </row>
    <row r="463" spans="1:18" ht="153" x14ac:dyDescent="0.2">
      <c r="A463" s="14" t="s">
        <v>20</v>
      </c>
      <c r="B463" s="23" t="s">
        <v>120</v>
      </c>
      <c r="C463" s="23" t="s">
        <v>22</v>
      </c>
      <c r="D463" s="23" t="s">
        <v>131</v>
      </c>
      <c r="E463" s="23" t="s">
        <v>1094</v>
      </c>
      <c r="F463" s="23" t="s">
        <v>25</v>
      </c>
      <c r="G463" s="23" t="s">
        <v>1095</v>
      </c>
      <c r="H463" s="23" t="s">
        <v>27</v>
      </c>
      <c r="I463" s="23" t="s">
        <v>182</v>
      </c>
      <c r="J463" s="36">
        <v>2</v>
      </c>
      <c r="K463" s="23" t="s">
        <v>1096</v>
      </c>
      <c r="L463" s="23" t="s">
        <v>1097</v>
      </c>
      <c r="M463" s="17" t="s">
        <v>1676</v>
      </c>
      <c r="N463" s="19" t="s">
        <v>1098</v>
      </c>
      <c r="O463" s="36" t="s">
        <v>184</v>
      </c>
      <c r="P463" s="27">
        <v>69</v>
      </c>
      <c r="Q463" s="18" t="str">
        <f t="shared" si="6"/>
        <v>BM HB06 _ B _ Mesure de l’intensité de fluorescence de l’éosine-5-maléimide, qui se lie de façon covalente à la protéine band 3, par cytométrie en flux. _ Quantitatif _ Semi-automatisée _ 2 _ Cytomètre de flux</v>
      </c>
      <c r="R463" s="286"/>
    </row>
    <row r="464" spans="1:18" ht="127.5" x14ac:dyDescent="0.2">
      <c r="A464" s="14" t="s">
        <v>20</v>
      </c>
      <c r="B464" s="23" t="s">
        <v>120</v>
      </c>
      <c r="C464" s="23" t="s">
        <v>22</v>
      </c>
      <c r="D464" s="23" t="s">
        <v>131</v>
      </c>
      <c r="E464" s="23" t="s">
        <v>1099</v>
      </c>
      <c r="F464" s="23" t="s">
        <v>25</v>
      </c>
      <c r="G464" s="23" t="s">
        <v>1100</v>
      </c>
      <c r="H464" s="23" t="s">
        <v>27</v>
      </c>
      <c r="I464" s="23" t="s">
        <v>182</v>
      </c>
      <c r="J464" s="36">
        <v>2</v>
      </c>
      <c r="K464" s="23" t="s">
        <v>1096</v>
      </c>
      <c r="L464" s="23" t="s">
        <v>1097</v>
      </c>
      <c r="M464" s="17" t="s">
        <v>1676</v>
      </c>
      <c r="N464" s="19" t="s">
        <v>1098</v>
      </c>
      <c r="O464" s="36" t="s">
        <v>184</v>
      </c>
      <c r="P464" s="27">
        <v>67</v>
      </c>
      <c r="Q464" s="18" t="str">
        <f t="shared" ref="Q464:Q527" si="7">CONCATENATE(N464," _ ",O464," _ ",G464," _ ",H464," _ ",I464," _ ",J464," _ ",K464)</f>
        <v>BM HB06 _ B _ Décompte par cytométrie en flux du nombre de globules rouges avant et après ajout d’eau distillée. _ Quantitatif _ Semi-automatisée _ 2 _ Cytomètre de flux</v>
      </c>
      <c r="R464" s="286"/>
    </row>
    <row r="465" spans="1:18" ht="51" x14ac:dyDescent="0.2">
      <c r="A465" s="14" t="s">
        <v>20</v>
      </c>
      <c r="B465" s="23" t="s">
        <v>120</v>
      </c>
      <c r="C465" s="23" t="s">
        <v>22</v>
      </c>
      <c r="D465" s="23" t="s">
        <v>131</v>
      </c>
      <c r="E465" s="37" t="s">
        <v>1101</v>
      </c>
      <c r="F465" s="23" t="s">
        <v>25</v>
      </c>
      <c r="G465" s="23" t="s">
        <v>1102</v>
      </c>
      <c r="H465" s="196" t="s">
        <v>27</v>
      </c>
      <c r="I465" s="23" t="s">
        <v>182</v>
      </c>
      <c r="J465" s="36">
        <v>2</v>
      </c>
      <c r="K465" s="23" t="s">
        <v>1096</v>
      </c>
      <c r="L465" s="23" t="s">
        <v>1103</v>
      </c>
      <c r="M465" s="17" t="s">
        <v>1519</v>
      </c>
      <c r="N465" s="19" t="s">
        <v>1098</v>
      </c>
      <c r="O465" s="36" t="s">
        <v>184</v>
      </c>
      <c r="P465" s="27">
        <v>3869</v>
      </c>
      <c r="Q465" s="18" t="str">
        <f t="shared" si="7"/>
        <v>BM HB06 _ B _ Quantification d'un signal lumineux _ Quantitatif _ Semi-automatisée _ 2 _ Cytomètre de flux</v>
      </c>
      <c r="R465" s="286"/>
    </row>
    <row r="466" spans="1:18" ht="140.25" x14ac:dyDescent="0.2">
      <c r="A466" s="14" t="s">
        <v>20</v>
      </c>
      <c r="B466" s="23" t="s">
        <v>120</v>
      </c>
      <c r="C466" s="23" t="s">
        <v>22</v>
      </c>
      <c r="D466" s="23" t="s">
        <v>131</v>
      </c>
      <c r="E466" s="129" t="s">
        <v>1497</v>
      </c>
      <c r="F466" s="194" t="s">
        <v>25</v>
      </c>
      <c r="G466" s="194" t="s">
        <v>1498</v>
      </c>
      <c r="H466" s="196" t="s">
        <v>27</v>
      </c>
      <c r="I466" s="194" t="s">
        <v>1501</v>
      </c>
      <c r="J466" s="195">
        <v>2</v>
      </c>
      <c r="K466" s="194" t="s">
        <v>1499</v>
      </c>
      <c r="L466" s="194" t="s">
        <v>1500</v>
      </c>
      <c r="M466" s="17" t="s">
        <v>1520</v>
      </c>
      <c r="N466" s="112" t="s">
        <v>1098</v>
      </c>
      <c r="O466" s="195" t="s">
        <v>184</v>
      </c>
      <c r="P466" s="27">
        <v>259</v>
      </c>
      <c r="Q466" s="18" t="str">
        <f t="shared" si="7"/>
        <v>BM HB06 _ B _ fluorescence des globules rouges _ Quantitatif _ Auomatisée _ 2 _ Cytmètre  NAVIOS EX Beckman Coulter</v>
      </c>
      <c r="R466" s="286"/>
    </row>
    <row r="467" spans="1:18" ht="51" x14ac:dyDescent="0.2">
      <c r="A467" s="14" t="s">
        <v>20</v>
      </c>
      <c r="B467" s="42" t="s">
        <v>120</v>
      </c>
      <c r="C467" s="42" t="s">
        <v>22</v>
      </c>
      <c r="D467" s="42" t="s">
        <v>131</v>
      </c>
      <c r="E467" s="42" t="s">
        <v>1104</v>
      </c>
      <c r="F467" s="42" t="s">
        <v>25</v>
      </c>
      <c r="G467" s="42" t="s">
        <v>1102</v>
      </c>
      <c r="H467" s="25" t="s">
        <v>27</v>
      </c>
      <c r="I467" s="42" t="s">
        <v>182</v>
      </c>
      <c r="J467" s="95">
        <v>2</v>
      </c>
      <c r="K467" s="42" t="s">
        <v>1096</v>
      </c>
      <c r="L467" s="42" t="s">
        <v>1105</v>
      </c>
      <c r="M467" s="24"/>
      <c r="N467" s="26" t="s">
        <v>1098</v>
      </c>
      <c r="O467" s="118" t="s">
        <v>31</v>
      </c>
      <c r="P467" s="27">
        <v>117</v>
      </c>
      <c r="Q467" s="18" t="str">
        <f t="shared" si="7"/>
        <v>BM HB06 _ A _ Quantification d'un signal lumineux _ Quantitatif _ Semi-automatisée _ 2 _ Cytomètre de flux</v>
      </c>
      <c r="R467" s="286"/>
    </row>
    <row r="468" spans="1:18" ht="178.5" x14ac:dyDescent="0.2">
      <c r="A468" s="14" t="s">
        <v>20</v>
      </c>
      <c r="B468" s="42" t="s">
        <v>120</v>
      </c>
      <c r="C468" s="42" t="s">
        <v>22</v>
      </c>
      <c r="D468" s="42" t="s">
        <v>131</v>
      </c>
      <c r="E468" s="94" t="s">
        <v>1106</v>
      </c>
      <c r="F468" s="42" t="s">
        <v>1107</v>
      </c>
      <c r="G468" s="42" t="s">
        <v>1108</v>
      </c>
      <c r="H468" s="25" t="s">
        <v>170</v>
      </c>
      <c r="I468" s="42" t="s">
        <v>182</v>
      </c>
      <c r="J468" s="95">
        <v>2</v>
      </c>
      <c r="K468" s="42" t="s">
        <v>1096</v>
      </c>
      <c r="L468" s="42" t="s">
        <v>1109</v>
      </c>
      <c r="M468" s="24"/>
      <c r="N468" s="26" t="s">
        <v>1098</v>
      </c>
      <c r="O468" s="118" t="s">
        <v>184</v>
      </c>
      <c r="P468" s="27">
        <v>4690</v>
      </c>
      <c r="Q468" s="18" t="str">
        <f t="shared" si="7"/>
        <v>BM HB06 _ B _  cytométrie en flux (détection d'un signal lumineux) _ Qualitatif _ Semi-automatisée _ 2 _ Cytomètre de flux</v>
      </c>
      <c r="R468" s="286"/>
    </row>
    <row r="469" spans="1:18" ht="348.75" customHeight="1" x14ac:dyDescent="0.2">
      <c r="A469" s="14" t="s">
        <v>20</v>
      </c>
      <c r="B469" s="30" t="s">
        <v>839</v>
      </c>
      <c r="C469" s="25" t="s">
        <v>22</v>
      </c>
      <c r="D469" s="30" t="s">
        <v>1110</v>
      </c>
      <c r="E469" s="119" t="s">
        <v>1111</v>
      </c>
      <c r="F469" s="30" t="s">
        <v>788</v>
      </c>
      <c r="G469" s="30" t="s">
        <v>1112</v>
      </c>
      <c r="H469" s="30" t="s">
        <v>1113</v>
      </c>
      <c r="I469" s="30" t="s">
        <v>1114</v>
      </c>
      <c r="J469" s="31">
        <v>2</v>
      </c>
      <c r="K469" s="30" t="s">
        <v>1115</v>
      </c>
      <c r="L469" s="30" t="s">
        <v>1116</v>
      </c>
      <c r="M469" s="14"/>
      <c r="N469" s="23" t="s">
        <v>1117</v>
      </c>
      <c r="O469" s="36" t="s">
        <v>184</v>
      </c>
      <c r="P469" s="100">
        <v>5902</v>
      </c>
      <c r="Q469" s="18" t="str">
        <f t="shared" si="7"/>
        <v>BM IC01 _ B _ cytométrie en flux determination de la valeur absolue par calcul à partir de la numération formule sanguine _ quantitatif _ automatisée _ 2 _ Navios (Beckman Coulter)</v>
      </c>
      <c r="R469" s="286"/>
    </row>
    <row r="470" spans="1:18" ht="114.75" x14ac:dyDescent="0.2">
      <c r="A470" s="14" t="s">
        <v>20</v>
      </c>
      <c r="B470" s="30" t="s">
        <v>839</v>
      </c>
      <c r="C470" s="25" t="s">
        <v>22</v>
      </c>
      <c r="D470" s="30" t="s">
        <v>1110</v>
      </c>
      <c r="E470" s="119" t="s">
        <v>1111</v>
      </c>
      <c r="F470" s="30" t="s">
        <v>788</v>
      </c>
      <c r="G470" s="30" t="s">
        <v>1118</v>
      </c>
      <c r="H470" s="30" t="s">
        <v>1113</v>
      </c>
      <c r="I470" s="30" t="s">
        <v>1114</v>
      </c>
      <c r="J470" s="31">
        <v>2</v>
      </c>
      <c r="K470" s="30" t="s">
        <v>1115</v>
      </c>
      <c r="L470" s="30" t="s">
        <v>1116</v>
      </c>
      <c r="M470" s="14"/>
      <c r="N470" s="23" t="s">
        <v>1117</v>
      </c>
      <c r="O470" s="36" t="s">
        <v>184</v>
      </c>
      <c r="P470" s="120" t="s">
        <v>1119</v>
      </c>
      <c r="Q470" s="18" t="str">
        <f t="shared" si="7"/>
        <v>BM IC01 _ B _ cytométrie en flux determination de la valeur absolue à partir de billes de calibration _ quantitatif _ automatisée _ 2 _ Navios (Beckman Coulter)</v>
      </c>
      <c r="R470" s="286"/>
    </row>
    <row r="471" spans="1:18" ht="38.25" x14ac:dyDescent="0.2">
      <c r="A471" s="14" t="s">
        <v>20</v>
      </c>
      <c r="B471" s="121" t="s">
        <v>926</v>
      </c>
      <c r="C471" s="122" t="s">
        <v>22</v>
      </c>
      <c r="D471" s="123" t="s">
        <v>213</v>
      </c>
      <c r="E471" s="124" t="s">
        <v>1120</v>
      </c>
      <c r="F471" s="121" t="s">
        <v>246</v>
      </c>
      <c r="G471" s="121" t="s">
        <v>1121</v>
      </c>
      <c r="H471" s="121" t="s">
        <v>1113</v>
      </c>
      <c r="I471" s="121" t="s">
        <v>1114</v>
      </c>
      <c r="J471" s="125">
        <v>1</v>
      </c>
      <c r="K471" s="121" t="s">
        <v>861</v>
      </c>
      <c r="L471" s="121" t="s">
        <v>1122</v>
      </c>
      <c r="M471" s="122"/>
      <c r="N471" s="45" t="s">
        <v>251</v>
      </c>
      <c r="O471" s="46" t="s">
        <v>31</v>
      </c>
      <c r="P471" s="301">
        <v>1252</v>
      </c>
      <c r="Q471" s="18" t="str">
        <f t="shared" si="7"/>
        <v>BM MG01 _ A _ détection immuno-enzymatique _ quantitatif _ automatisée _ 1 _ EVOLIS, Biorad</v>
      </c>
      <c r="R471" s="286"/>
    </row>
    <row r="472" spans="1:18" ht="38.25" x14ac:dyDescent="0.2">
      <c r="A472" s="14" t="s">
        <v>20</v>
      </c>
      <c r="B472" s="121" t="s">
        <v>926</v>
      </c>
      <c r="C472" s="122" t="s">
        <v>22</v>
      </c>
      <c r="D472" s="123" t="s">
        <v>213</v>
      </c>
      <c r="E472" s="124" t="s">
        <v>1123</v>
      </c>
      <c r="F472" s="121" t="s">
        <v>1124</v>
      </c>
      <c r="G472" s="121" t="s">
        <v>1125</v>
      </c>
      <c r="H472" s="121" t="s">
        <v>517</v>
      </c>
      <c r="I472" s="121" t="s">
        <v>1126</v>
      </c>
      <c r="J472" s="125"/>
      <c r="K472" s="121"/>
      <c r="L472" s="121" t="s">
        <v>1127</v>
      </c>
      <c r="M472" s="122"/>
      <c r="N472" s="45" t="s">
        <v>240</v>
      </c>
      <c r="O472" s="46" t="s">
        <v>31</v>
      </c>
      <c r="P472" s="126">
        <v>1136</v>
      </c>
      <c r="Q472" s="18" t="str">
        <f t="shared" si="7"/>
        <v xml:space="preserve">BM MG12 _ A _ e test _ qualitatif _ manuelle _  _ </v>
      </c>
      <c r="R472" s="286"/>
    </row>
    <row r="473" spans="1:18" ht="114.75" x14ac:dyDescent="0.2">
      <c r="A473" s="14" t="s">
        <v>20</v>
      </c>
      <c r="B473" s="156" t="s">
        <v>926</v>
      </c>
      <c r="C473" s="162" t="s">
        <v>22</v>
      </c>
      <c r="D473" s="156" t="s">
        <v>1367</v>
      </c>
      <c r="E473" s="157" t="s">
        <v>1368</v>
      </c>
      <c r="F473" s="302" t="s">
        <v>1369</v>
      </c>
      <c r="G473" s="302" t="s">
        <v>1370</v>
      </c>
      <c r="H473" s="302" t="s">
        <v>517</v>
      </c>
      <c r="I473" s="302" t="s">
        <v>1371</v>
      </c>
      <c r="J473" s="303">
        <v>2</v>
      </c>
      <c r="K473" s="302" t="s">
        <v>1372</v>
      </c>
      <c r="L473" s="302" t="s">
        <v>1373</v>
      </c>
      <c r="M473" s="304" t="s">
        <v>1527</v>
      </c>
      <c r="N473" s="305" t="s">
        <v>1374</v>
      </c>
      <c r="O473" s="191" t="s">
        <v>31</v>
      </c>
      <c r="P473" s="160">
        <v>4350</v>
      </c>
      <c r="Q473" s="18" t="str">
        <f t="shared" si="7"/>
        <v>BM PM01 _ A _ identification sur critères macro/microscopique et maldi-tof _ qualitatif _ manuelle pour Examen macro et microscopique, automatisée pour spectrométrie de masse _ 2 _ Maldi tof Brucker - systeme IVD Maldi Biotyper</v>
      </c>
      <c r="R473" s="286"/>
    </row>
    <row r="474" spans="1:18" ht="51" x14ac:dyDescent="0.2">
      <c r="A474" s="14" t="s">
        <v>20</v>
      </c>
      <c r="B474" s="156" t="s">
        <v>926</v>
      </c>
      <c r="C474" s="162" t="s">
        <v>22</v>
      </c>
      <c r="D474" s="156" t="s">
        <v>1367</v>
      </c>
      <c r="E474" s="157" t="s">
        <v>1375</v>
      </c>
      <c r="F474" s="302" t="s">
        <v>1376</v>
      </c>
      <c r="G474" s="302" t="s">
        <v>1377</v>
      </c>
      <c r="H474" s="302" t="s">
        <v>517</v>
      </c>
      <c r="I474" s="302" t="s">
        <v>1114</v>
      </c>
      <c r="J474" s="303">
        <v>2</v>
      </c>
      <c r="K474" s="302" t="s">
        <v>1378</v>
      </c>
      <c r="L474" s="302" t="s">
        <v>1379</v>
      </c>
      <c r="M474" s="304" t="s">
        <v>1491</v>
      </c>
      <c r="N474" s="305" t="s">
        <v>1380</v>
      </c>
      <c r="O474" s="191" t="s">
        <v>31</v>
      </c>
      <c r="P474" s="160">
        <v>1213</v>
      </c>
      <c r="Q474" s="18" t="str">
        <f t="shared" si="7"/>
        <v>BM PM02 _ A _ détection d'acides nucléiques _ qualitatif _ automatisée _ 2 _ EZ1 (extraction) / CFX 96 (amplification)</v>
      </c>
      <c r="R474" s="286"/>
    </row>
    <row r="475" spans="1:18" ht="63.75" x14ac:dyDescent="0.2">
      <c r="A475" s="22" t="s">
        <v>20</v>
      </c>
      <c r="B475" s="372" t="s">
        <v>926</v>
      </c>
      <c r="C475" s="311" t="s">
        <v>22</v>
      </c>
      <c r="D475" s="372" t="s">
        <v>1367</v>
      </c>
      <c r="E475" s="372" t="s">
        <v>1381</v>
      </c>
      <c r="F475" s="372" t="s">
        <v>1382</v>
      </c>
      <c r="G475" s="372" t="s">
        <v>1377</v>
      </c>
      <c r="H475" s="372" t="s">
        <v>517</v>
      </c>
      <c r="I475" s="372" t="s">
        <v>1114</v>
      </c>
      <c r="J475" s="373">
        <v>3</v>
      </c>
      <c r="K475" s="372" t="s">
        <v>1783</v>
      </c>
      <c r="L475" s="372" t="s">
        <v>1514</v>
      </c>
      <c r="M475" s="311" t="s">
        <v>1528</v>
      </c>
      <c r="N475" s="374" t="s">
        <v>1383</v>
      </c>
      <c r="O475" s="375" t="s">
        <v>184</v>
      </c>
      <c r="P475" s="376">
        <v>1077</v>
      </c>
      <c r="Q475" s="18" t="str">
        <f t="shared" si="7"/>
        <v>BM PM04 _ B _ détection d'acides nucléiques _ qualitatif _ automatisée _ 3 _ 3 CFX 96 (amplification)
1 Qiacube (extraction)</v>
      </c>
      <c r="R475" s="286"/>
    </row>
    <row r="476" spans="1:18" ht="63.75" x14ac:dyDescent="0.2">
      <c r="A476" s="14" t="s">
        <v>20</v>
      </c>
      <c r="B476" s="156" t="s">
        <v>926</v>
      </c>
      <c r="C476" s="162" t="s">
        <v>22</v>
      </c>
      <c r="D476" s="156" t="s">
        <v>1367</v>
      </c>
      <c r="E476" s="157" t="s">
        <v>1384</v>
      </c>
      <c r="F476" s="156" t="s">
        <v>1385</v>
      </c>
      <c r="G476" s="156" t="s">
        <v>1377</v>
      </c>
      <c r="H476" s="156" t="s">
        <v>517</v>
      </c>
      <c r="I476" s="156" t="s">
        <v>1114</v>
      </c>
      <c r="J476" s="306">
        <v>2</v>
      </c>
      <c r="K476" s="156" t="s">
        <v>1378</v>
      </c>
      <c r="L476" s="156" t="s">
        <v>1386</v>
      </c>
      <c r="M476" s="152" t="s">
        <v>1491</v>
      </c>
      <c r="N476" s="158" t="s">
        <v>1383</v>
      </c>
      <c r="O476" s="159" t="s">
        <v>31</v>
      </c>
      <c r="P476" s="160">
        <v>85</v>
      </c>
      <c r="Q476" s="18" t="str">
        <f t="shared" si="7"/>
        <v>BM PM04 _ A _ détection d'acides nucléiques _ qualitatif _ automatisée _ 2 _ EZ1 (extraction) / CFX 96 (amplification)</v>
      </c>
      <c r="R476" s="286"/>
    </row>
    <row r="477" spans="1:18" ht="51" x14ac:dyDescent="0.2">
      <c r="A477" s="14" t="s">
        <v>20</v>
      </c>
      <c r="B477" s="156" t="s">
        <v>926</v>
      </c>
      <c r="C477" s="162" t="s">
        <v>22</v>
      </c>
      <c r="D477" s="156" t="s">
        <v>1367</v>
      </c>
      <c r="E477" s="157" t="s">
        <v>1387</v>
      </c>
      <c r="F477" s="156" t="s">
        <v>1388</v>
      </c>
      <c r="G477" s="156" t="s">
        <v>1389</v>
      </c>
      <c r="H477" s="156" t="s">
        <v>517</v>
      </c>
      <c r="I477" s="156" t="s">
        <v>1114</v>
      </c>
      <c r="J477" s="306">
        <v>1</v>
      </c>
      <c r="K477" s="156" t="s">
        <v>1390</v>
      </c>
      <c r="L477" s="156" t="s">
        <v>1391</v>
      </c>
      <c r="M477" s="152" t="s">
        <v>1491</v>
      </c>
      <c r="N477" s="158" t="s">
        <v>1383</v>
      </c>
      <c r="O477" s="159" t="s">
        <v>184</v>
      </c>
      <c r="P477" s="160">
        <v>997</v>
      </c>
      <c r="Q477" s="18" t="str">
        <f t="shared" si="7"/>
        <v>BM PM04 _ B _ Séquencage Sanger _ qualitatif _ automatisée _ 1 _ séquenceur AB 3500</v>
      </c>
      <c r="R477" s="286"/>
    </row>
    <row r="478" spans="1:18" ht="63.75" x14ac:dyDescent="0.2">
      <c r="A478" s="14" t="s">
        <v>20</v>
      </c>
      <c r="B478" s="156" t="s">
        <v>926</v>
      </c>
      <c r="C478" s="162" t="s">
        <v>22</v>
      </c>
      <c r="D478" s="148" t="s">
        <v>213</v>
      </c>
      <c r="E478" s="157" t="s">
        <v>1392</v>
      </c>
      <c r="F478" s="302" t="s">
        <v>1393</v>
      </c>
      <c r="G478" s="302" t="s">
        <v>1394</v>
      </c>
      <c r="H478" s="302" t="s">
        <v>1395</v>
      </c>
      <c r="I478" s="302" t="s">
        <v>1126</v>
      </c>
      <c r="J478" s="302"/>
      <c r="K478" s="302"/>
      <c r="L478" s="302" t="s">
        <v>1396</v>
      </c>
      <c r="M478" s="304" t="s">
        <v>1491</v>
      </c>
      <c r="N478" s="305" t="s">
        <v>1397</v>
      </c>
      <c r="O478" s="307" t="s">
        <v>31</v>
      </c>
      <c r="P478" s="160">
        <v>605</v>
      </c>
      <c r="Q478" s="18" t="str">
        <f t="shared" si="7"/>
        <v xml:space="preserve">BM MG13 _ A _ Frottis + Goutte épaisse + recherche d'Ag  _ qualitatif + quantitatif parasitémie sur frottis _ manuelle _  _ </v>
      </c>
      <c r="R478" s="286"/>
    </row>
    <row r="479" spans="1:18" ht="51" x14ac:dyDescent="0.2">
      <c r="A479" s="14" t="s">
        <v>20</v>
      </c>
      <c r="B479" s="30" t="s">
        <v>932</v>
      </c>
      <c r="C479" s="14" t="s">
        <v>22</v>
      </c>
      <c r="D479" s="15" t="s">
        <v>1128</v>
      </c>
      <c r="E479" s="20" t="s">
        <v>1129</v>
      </c>
      <c r="F479" s="14" t="s">
        <v>25</v>
      </c>
      <c r="G479" s="14" t="s">
        <v>1130</v>
      </c>
      <c r="H479" s="14" t="s">
        <v>27</v>
      </c>
      <c r="I479" s="14" t="s">
        <v>28</v>
      </c>
      <c r="J479" s="16">
        <v>2</v>
      </c>
      <c r="K479" s="256" t="s">
        <v>1617</v>
      </c>
      <c r="L479" s="256" t="s">
        <v>1621</v>
      </c>
      <c r="M479" s="14"/>
      <c r="N479" s="42" t="s">
        <v>1131</v>
      </c>
      <c r="O479" s="16" t="s">
        <v>31</v>
      </c>
      <c r="P479" s="100">
        <v>1015</v>
      </c>
      <c r="Q479" s="18" t="str">
        <f t="shared" si="7"/>
        <v>BM PT01 _ A _ Immunodosage en phase homogène (KIMS) _ Quantitatif _ Automatisée _ 2 _ Cobas Pro</v>
      </c>
      <c r="R479" s="286"/>
    </row>
    <row r="480" spans="1:18" ht="63.75" x14ac:dyDescent="0.2">
      <c r="A480" s="39" t="s">
        <v>20</v>
      </c>
      <c r="B480" s="238" t="s">
        <v>932</v>
      </c>
      <c r="C480" s="21" t="s">
        <v>22</v>
      </c>
      <c r="D480" s="239" t="s">
        <v>1128</v>
      </c>
      <c r="E480" s="39" t="s">
        <v>1132</v>
      </c>
      <c r="F480" s="39" t="s">
        <v>25</v>
      </c>
      <c r="G480" s="21" t="s">
        <v>1133</v>
      </c>
      <c r="H480" s="21" t="s">
        <v>27</v>
      </c>
      <c r="I480" s="21" t="s">
        <v>28</v>
      </c>
      <c r="J480" s="398">
        <v>2</v>
      </c>
      <c r="K480" s="399" t="s">
        <v>1617</v>
      </c>
      <c r="L480" s="21" t="s">
        <v>1677</v>
      </c>
      <c r="M480" s="41" t="s">
        <v>1825</v>
      </c>
      <c r="N480" s="42" t="s">
        <v>1131</v>
      </c>
      <c r="O480" s="16" t="s">
        <v>31</v>
      </c>
      <c r="P480" s="100">
        <v>971</v>
      </c>
      <c r="Q480" s="18" t="str">
        <f t="shared" si="7"/>
        <v>BM PT01 _ A _ Technique immunoenzymatique en phase homogène _ Quantitatif _ Automatisée _ 2 _ Cobas Pro</v>
      </c>
      <c r="R480" s="286"/>
    </row>
    <row r="481" spans="1:18" ht="63.75" x14ac:dyDescent="0.2">
      <c r="A481" s="39" t="s">
        <v>20</v>
      </c>
      <c r="B481" s="238" t="s">
        <v>932</v>
      </c>
      <c r="C481" s="21" t="s">
        <v>22</v>
      </c>
      <c r="D481" s="239" t="s">
        <v>1128</v>
      </c>
      <c r="E481" s="39" t="s">
        <v>1134</v>
      </c>
      <c r="F481" s="39" t="s">
        <v>25</v>
      </c>
      <c r="G481" s="21" t="s">
        <v>1133</v>
      </c>
      <c r="H481" s="21" t="s">
        <v>27</v>
      </c>
      <c r="I481" s="21" t="s">
        <v>28</v>
      </c>
      <c r="J481" s="398">
        <v>1</v>
      </c>
      <c r="K481" s="399" t="s">
        <v>1617</v>
      </c>
      <c r="L481" s="399" t="s">
        <v>1624</v>
      </c>
      <c r="M481" s="41" t="s">
        <v>1825</v>
      </c>
      <c r="N481" s="42" t="s">
        <v>1131</v>
      </c>
      <c r="O481" s="16" t="s">
        <v>31</v>
      </c>
      <c r="P481" s="127">
        <v>218</v>
      </c>
      <c r="Q481" s="18" t="str">
        <f t="shared" si="7"/>
        <v>BM PT01 _ A _ Technique immunoenzymatique en phase homogène _ Quantitatif _ Automatisée _ 1 _ Cobas Pro</v>
      </c>
      <c r="R481" s="286"/>
    </row>
    <row r="482" spans="1:18" ht="51" x14ac:dyDescent="0.2">
      <c r="A482" s="39" t="s">
        <v>20</v>
      </c>
      <c r="B482" s="238" t="s">
        <v>932</v>
      </c>
      <c r="C482" s="21" t="s">
        <v>22</v>
      </c>
      <c r="D482" s="239" t="s">
        <v>1128</v>
      </c>
      <c r="E482" s="39" t="s">
        <v>1135</v>
      </c>
      <c r="F482" s="39" t="s">
        <v>25</v>
      </c>
      <c r="G482" s="21" t="s">
        <v>1136</v>
      </c>
      <c r="H482" s="21" t="s">
        <v>27</v>
      </c>
      <c r="I482" s="21" t="s">
        <v>28</v>
      </c>
      <c r="J482" s="398">
        <v>2</v>
      </c>
      <c r="K482" s="399" t="s">
        <v>1617</v>
      </c>
      <c r="L482" s="399" t="s">
        <v>1619</v>
      </c>
      <c r="M482" s="41" t="s">
        <v>1825</v>
      </c>
      <c r="N482" s="42" t="s">
        <v>1131</v>
      </c>
      <c r="O482" s="16" t="s">
        <v>31</v>
      </c>
      <c r="P482" s="127">
        <v>704</v>
      </c>
      <c r="Q482" s="18" t="str">
        <f t="shared" si="7"/>
        <v>BM PT01 _ A _ Technique immunoenzymatique CEDIA _ Quantitatif _ Automatisée _ 2 _ Cobas Pro</v>
      </c>
      <c r="R482" s="286"/>
    </row>
    <row r="483" spans="1:18" ht="51" x14ac:dyDescent="0.2">
      <c r="A483" s="39" t="s">
        <v>20</v>
      </c>
      <c r="B483" s="238" t="s">
        <v>932</v>
      </c>
      <c r="C483" s="21" t="s">
        <v>22</v>
      </c>
      <c r="D483" s="239" t="s">
        <v>1128</v>
      </c>
      <c r="E483" s="39" t="s">
        <v>1137</v>
      </c>
      <c r="F483" s="39" t="s">
        <v>25</v>
      </c>
      <c r="G483" s="21" t="s">
        <v>1136</v>
      </c>
      <c r="H483" s="21" t="s">
        <v>27</v>
      </c>
      <c r="I483" s="21" t="s">
        <v>28</v>
      </c>
      <c r="J483" s="398">
        <v>1</v>
      </c>
      <c r="K483" s="399" t="s">
        <v>1617</v>
      </c>
      <c r="L483" s="400" t="s">
        <v>1678</v>
      </c>
      <c r="M483" s="41" t="s">
        <v>1825</v>
      </c>
      <c r="N483" s="42" t="s">
        <v>1131</v>
      </c>
      <c r="O483" s="16" t="s">
        <v>31</v>
      </c>
      <c r="P483" s="127">
        <v>194</v>
      </c>
      <c r="Q483" s="18" t="str">
        <f t="shared" si="7"/>
        <v>BM PT01 _ A _ Technique immunoenzymatique CEDIA _ Quantitatif _ Automatisée _ 1 _ Cobas Pro</v>
      </c>
      <c r="R483" s="286"/>
    </row>
    <row r="484" spans="1:18" ht="63.75" x14ac:dyDescent="0.2">
      <c r="A484" s="39" t="s">
        <v>20</v>
      </c>
      <c r="B484" s="238" t="s">
        <v>932</v>
      </c>
      <c r="C484" s="21" t="s">
        <v>22</v>
      </c>
      <c r="D484" s="239" t="s">
        <v>1128</v>
      </c>
      <c r="E484" s="39" t="s">
        <v>1138</v>
      </c>
      <c r="F484" s="39" t="s">
        <v>25</v>
      </c>
      <c r="G484" s="21" t="s">
        <v>1133</v>
      </c>
      <c r="H484" s="21" t="s">
        <v>27</v>
      </c>
      <c r="I484" s="21" t="s">
        <v>28</v>
      </c>
      <c r="J484" s="398">
        <v>2</v>
      </c>
      <c r="K484" s="399" t="s">
        <v>1617</v>
      </c>
      <c r="L484" s="21" t="s">
        <v>1679</v>
      </c>
      <c r="M484" s="41" t="s">
        <v>1825</v>
      </c>
      <c r="N484" s="42" t="s">
        <v>1131</v>
      </c>
      <c r="O484" s="16" t="s">
        <v>31</v>
      </c>
      <c r="P484" s="127">
        <v>878</v>
      </c>
      <c r="Q484" s="18" t="str">
        <f t="shared" si="7"/>
        <v>BM PT01 _ A _ Technique immunoenzymatique en phase homogène _ Quantitatif _ Automatisée _ 2 _ Cobas Pro</v>
      </c>
      <c r="R484" s="286"/>
    </row>
    <row r="485" spans="1:18" ht="51" x14ac:dyDescent="0.2">
      <c r="A485" s="39" t="s">
        <v>20</v>
      </c>
      <c r="B485" s="238" t="s">
        <v>932</v>
      </c>
      <c r="C485" s="21" t="s">
        <v>22</v>
      </c>
      <c r="D485" s="239" t="s">
        <v>1128</v>
      </c>
      <c r="E485" s="39" t="s">
        <v>1139</v>
      </c>
      <c r="F485" s="39" t="s">
        <v>25</v>
      </c>
      <c r="G485" s="21" t="s">
        <v>1130</v>
      </c>
      <c r="H485" s="21" t="s">
        <v>27</v>
      </c>
      <c r="I485" s="21" t="s">
        <v>28</v>
      </c>
      <c r="J485" s="398">
        <v>1</v>
      </c>
      <c r="K485" s="399" t="s">
        <v>1617</v>
      </c>
      <c r="L485" s="399" t="s">
        <v>1623</v>
      </c>
      <c r="M485" s="41" t="s">
        <v>1825</v>
      </c>
      <c r="N485" s="42" t="s">
        <v>1131</v>
      </c>
      <c r="O485" s="16" t="s">
        <v>31</v>
      </c>
      <c r="P485" s="127">
        <v>45</v>
      </c>
      <c r="Q485" s="18" t="str">
        <f t="shared" si="7"/>
        <v>BM PT01 _ A _ Immunodosage en phase homogène (KIMS) _ Quantitatif _ Automatisée _ 1 _ Cobas Pro</v>
      </c>
      <c r="R485" s="286"/>
    </row>
    <row r="486" spans="1:18" ht="51" x14ac:dyDescent="0.2">
      <c r="A486" s="39" t="s">
        <v>20</v>
      </c>
      <c r="B486" s="238" t="s">
        <v>932</v>
      </c>
      <c r="C486" s="21" t="s">
        <v>22</v>
      </c>
      <c r="D486" s="239" t="s">
        <v>1128</v>
      </c>
      <c r="E486" s="39" t="s">
        <v>1140</v>
      </c>
      <c r="F486" s="39" t="s">
        <v>25</v>
      </c>
      <c r="G486" s="21" t="s">
        <v>1130</v>
      </c>
      <c r="H486" s="21" t="s">
        <v>27</v>
      </c>
      <c r="I486" s="21" t="s">
        <v>28</v>
      </c>
      <c r="J486" s="398">
        <v>1</v>
      </c>
      <c r="K486" s="399" t="s">
        <v>1617</v>
      </c>
      <c r="L486" s="399" t="s">
        <v>1622</v>
      </c>
      <c r="M486" s="41" t="s">
        <v>1825</v>
      </c>
      <c r="N486" s="42" t="s">
        <v>1131</v>
      </c>
      <c r="O486" s="16" t="s">
        <v>31</v>
      </c>
      <c r="P486" s="127">
        <v>91</v>
      </c>
      <c r="Q486" s="18" t="str">
        <f t="shared" si="7"/>
        <v>BM PT01 _ A _ Immunodosage en phase homogène (KIMS) _ Quantitatif _ Automatisée _ 1 _ Cobas Pro</v>
      </c>
      <c r="R486" s="286"/>
    </row>
    <row r="487" spans="1:18" ht="51" x14ac:dyDescent="0.2">
      <c r="A487" s="14" t="s">
        <v>20</v>
      </c>
      <c r="B487" s="30" t="s">
        <v>932</v>
      </c>
      <c r="C487" s="19" t="s">
        <v>22</v>
      </c>
      <c r="D487" s="15" t="s">
        <v>1128</v>
      </c>
      <c r="E487" s="20" t="s">
        <v>1141</v>
      </c>
      <c r="F487" s="14" t="s">
        <v>25</v>
      </c>
      <c r="G487" s="19" t="s">
        <v>1142</v>
      </c>
      <c r="H487" s="19" t="s">
        <v>27</v>
      </c>
      <c r="I487" s="19" t="s">
        <v>28</v>
      </c>
      <c r="J487" s="16">
        <v>2</v>
      </c>
      <c r="K487" s="256" t="s">
        <v>1617</v>
      </c>
      <c r="L487" s="257" t="s">
        <v>1618</v>
      </c>
      <c r="M487" s="19"/>
      <c r="N487" s="42" t="s">
        <v>1131</v>
      </c>
      <c r="O487" s="16" t="s">
        <v>31</v>
      </c>
      <c r="P487" s="127">
        <v>5225</v>
      </c>
      <c r="Q487" s="18" t="str">
        <f t="shared" si="7"/>
        <v>BM PT01 _ A _ Technique colorimétrique automatisée  _ Quantitatif _ Automatisée _ 2 _ Cobas Pro</v>
      </c>
      <c r="R487" s="286"/>
    </row>
    <row r="488" spans="1:18" ht="51" x14ac:dyDescent="0.2">
      <c r="A488" s="39" t="s">
        <v>20</v>
      </c>
      <c r="B488" s="238" t="s">
        <v>932</v>
      </c>
      <c r="C488" s="21" t="s">
        <v>22</v>
      </c>
      <c r="D488" s="239" t="s">
        <v>1128</v>
      </c>
      <c r="E488" s="39" t="s">
        <v>1143</v>
      </c>
      <c r="F488" s="39" t="s">
        <v>25</v>
      </c>
      <c r="G488" s="21" t="s">
        <v>1144</v>
      </c>
      <c r="H488" s="21" t="s">
        <v>27</v>
      </c>
      <c r="I488" s="21" t="s">
        <v>28</v>
      </c>
      <c r="J488" s="398">
        <v>2</v>
      </c>
      <c r="K488" s="21" t="s">
        <v>326</v>
      </c>
      <c r="L488" s="39" t="s">
        <v>1145</v>
      </c>
      <c r="M488" s="41" t="s">
        <v>1825</v>
      </c>
      <c r="N488" s="42" t="s">
        <v>1131</v>
      </c>
      <c r="O488" s="16" t="s">
        <v>31</v>
      </c>
      <c r="P488" s="127">
        <v>6372</v>
      </c>
      <c r="Q488" s="18" t="str">
        <f t="shared" si="7"/>
        <v>BM PT01 _ A _ Méthode enzymatique _ Quantitatif _ Automatisée _ 2 _ Cobas 8000</v>
      </c>
      <c r="R488" s="286"/>
    </row>
    <row r="489" spans="1:18" ht="51" x14ac:dyDescent="0.2">
      <c r="A489" s="39" t="s">
        <v>20</v>
      </c>
      <c r="B489" s="238" t="s">
        <v>932</v>
      </c>
      <c r="C489" s="21" t="s">
        <v>22</v>
      </c>
      <c r="D489" s="239" t="s">
        <v>1128</v>
      </c>
      <c r="E489" s="39" t="s">
        <v>1146</v>
      </c>
      <c r="F489" s="39" t="s">
        <v>25</v>
      </c>
      <c r="G489" s="21" t="s">
        <v>1147</v>
      </c>
      <c r="H489" s="21" t="s">
        <v>27</v>
      </c>
      <c r="I489" s="21" t="s">
        <v>28</v>
      </c>
      <c r="J489" s="398">
        <v>2</v>
      </c>
      <c r="K489" s="399" t="s">
        <v>1617</v>
      </c>
      <c r="L489" s="401" t="s">
        <v>1680</v>
      </c>
      <c r="M489" s="41" t="s">
        <v>1825</v>
      </c>
      <c r="N489" s="42" t="s">
        <v>1131</v>
      </c>
      <c r="O489" s="16" t="s">
        <v>31</v>
      </c>
      <c r="P489" s="127">
        <v>327</v>
      </c>
      <c r="Q489" s="18" t="str">
        <f t="shared" si="7"/>
        <v>BM PT01 _ A _ Immunodosage en phase homogène (KIMS)  _ Quantitatif _ Automatisée _ 2 _ Cobas Pro</v>
      </c>
      <c r="R489" s="286"/>
    </row>
    <row r="490" spans="1:18" ht="51" x14ac:dyDescent="0.2">
      <c r="A490" s="39" t="s">
        <v>20</v>
      </c>
      <c r="B490" s="238" t="s">
        <v>932</v>
      </c>
      <c r="C490" s="21" t="s">
        <v>22</v>
      </c>
      <c r="D490" s="239" t="s">
        <v>1128</v>
      </c>
      <c r="E490" s="39" t="s">
        <v>1148</v>
      </c>
      <c r="F490" s="39" t="s">
        <v>25</v>
      </c>
      <c r="G490" s="21" t="s">
        <v>1149</v>
      </c>
      <c r="H490" s="21" t="s">
        <v>27</v>
      </c>
      <c r="I490" s="21" t="s">
        <v>28</v>
      </c>
      <c r="J490" s="398">
        <v>1</v>
      </c>
      <c r="K490" s="399" t="s">
        <v>1617</v>
      </c>
      <c r="L490" s="401" t="s">
        <v>1681</v>
      </c>
      <c r="M490" s="41" t="s">
        <v>1825</v>
      </c>
      <c r="N490" s="42" t="s">
        <v>1131</v>
      </c>
      <c r="O490" s="16" t="s">
        <v>31</v>
      </c>
      <c r="P490" s="127">
        <v>865</v>
      </c>
      <c r="Q490" s="18" t="str">
        <f t="shared" si="7"/>
        <v>BM PT01 _ A _ Immunodosage en phase homogène _ Quantitatif _ Automatisée _ 1 _ Cobas Pro</v>
      </c>
      <c r="R490" s="286"/>
    </row>
    <row r="491" spans="1:18" ht="51" x14ac:dyDescent="0.2">
      <c r="A491" s="39" t="s">
        <v>20</v>
      </c>
      <c r="B491" s="238" t="s">
        <v>932</v>
      </c>
      <c r="C491" s="21" t="s">
        <v>22</v>
      </c>
      <c r="D491" s="239" t="s">
        <v>1128</v>
      </c>
      <c r="E491" s="39" t="s">
        <v>1150</v>
      </c>
      <c r="F491" s="39" t="s">
        <v>25</v>
      </c>
      <c r="G491" s="21" t="s">
        <v>1151</v>
      </c>
      <c r="H491" s="21" t="s">
        <v>27</v>
      </c>
      <c r="I491" s="21" t="s">
        <v>28</v>
      </c>
      <c r="J491" s="398">
        <v>1</v>
      </c>
      <c r="K491" s="399" t="s">
        <v>1617</v>
      </c>
      <c r="L491" s="399" t="s">
        <v>1620</v>
      </c>
      <c r="M491" s="41" t="s">
        <v>1825</v>
      </c>
      <c r="N491" s="42" t="s">
        <v>1131</v>
      </c>
      <c r="O491" s="16" t="s">
        <v>31</v>
      </c>
      <c r="P491" s="91">
        <v>1087</v>
      </c>
      <c r="Q491" s="18" t="str">
        <f t="shared" si="7"/>
        <v>BM PT01 _ A _ Technique enzymatique  _ Quantitatif _ Automatisée _ 1 _ Cobas Pro</v>
      </c>
      <c r="R491" s="286"/>
    </row>
    <row r="492" spans="1:18" ht="51" x14ac:dyDescent="0.2">
      <c r="A492" s="14" t="s">
        <v>20</v>
      </c>
      <c r="B492" s="30" t="s">
        <v>932</v>
      </c>
      <c r="C492" s="19" t="s">
        <v>22</v>
      </c>
      <c r="D492" s="15" t="s">
        <v>1128</v>
      </c>
      <c r="E492" s="20" t="s">
        <v>1152</v>
      </c>
      <c r="F492" s="14" t="s">
        <v>25</v>
      </c>
      <c r="G492" s="19" t="s">
        <v>1153</v>
      </c>
      <c r="H492" s="19" t="s">
        <v>27</v>
      </c>
      <c r="I492" s="19" t="s">
        <v>28</v>
      </c>
      <c r="J492" s="16">
        <v>2</v>
      </c>
      <c r="K492" s="256" t="s">
        <v>1617</v>
      </c>
      <c r="L492" s="17" t="s">
        <v>1682</v>
      </c>
      <c r="M492" s="21"/>
      <c r="N492" s="42" t="s">
        <v>1131</v>
      </c>
      <c r="O492" s="16" t="s">
        <v>31</v>
      </c>
      <c r="P492" s="91">
        <v>3577</v>
      </c>
      <c r="Q492" s="18" t="str">
        <f t="shared" si="7"/>
        <v>BM PT01 _ A _ Technique immunoenzymatique  _ Quantitatif _ Automatisée _ 2 _ Cobas Pro</v>
      </c>
      <c r="R492" s="286"/>
    </row>
    <row r="493" spans="1:18" ht="51" x14ac:dyDescent="0.2">
      <c r="A493" s="39" t="s">
        <v>20</v>
      </c>
      <c r="B493" s="238" t="s">
        <v>932</v>
      </c>
      <c r="C493" s="21" t="s">
        <v>22</v>
      </c>
      <c r="D493" s="239" t="s">
        <v>1128</v>
      </c>
      <c r="E493" s="39" t="s">
        <v>1154</v>
      </c>
      <c r="F493" s="39" t="s">
        <v>25</v>
      </c>
      <c r="G493" s="21" t="s">
        <v>1155</v>
      </c>
      <c r="H493" s="21" t="s">
        <v>27</v>
      </c>
      <c r="I493" s="21" t="s">
        <v>28</v>
      </c>
      <c r="J493" s="398">
        <v>1</v>
      </c>
      <c r="K493" s="399" t="s">
        <v>1617</v>
      </c>
      <c r="L493" s="401" t="s">
        <v>1683</v>
      </c>
      <c r="M493" s="41" t="s">
        <v>1825</v>
      </c>
      <c r="N493" s="42" t="s">
        <v>1131</v>
      </c>
      <c r="O493" s="16" t="s">
        <v>31</v>
      </c>
      <c r="P493" s="91">
        <v>238</v>
      </c>
      <c r="Q493" s="18" t="str">
        <f t="shared" si="7"/>
        <v>BM PT01 _ A _ Méthode immunoenzymatique EMIT  _ Quantitatif _ Automatisée _ 1 _ Cobas Pro</v>
      </c>
      <c r="R493" s="286"/>
    </row>
    <row r="494" spans="1:18" ht="51" x14ac:dyDescent="0.2">
      <c r="A494" s="39" t="s">
        <v>20</v>
      </c>
      <c r="B494" s="238" t="s">
        <v>932</v>
      </c>
      <c r="C494" s="21" t="s">
        <v>22</v>
      </c>
      <c r="D494" s="239" t="s">
        <v>1128</v>
      </c>
      <c r="E494" s="39" t="s">
        <v>1156</v>
      </c>
      <c r="F494" s="39" t="s">
        <v>292</v>
      </c>
      <c r="G494" s="21" t="s">
        <v>1157</v>
      </c>
      <c r="H494" s="39" t="s">
        <v>170</v>
      </c>
      <c r="I494" s="21" t="s">
        <v>28</v>
      </c>
      <c r="J494" s="398">
        <v>1</v>
      </c>
      <c r="K494" s="21" t="s">
        <v>326</v>
      </c>
      <c r="L494" s="39" t="s">
        <v>1158</v>
      </c>
      <c r="M494" s="41" t="s">
        <v>1825</v>
      </c>
      <c r="N494" s="42" t="s">
        <v>1131</v>
      </c>
      <c r="O494" s="16" t="s">
        <v>31</v>
      </c>
      <c r="P494" s="91">
        <v>1187</v>
      </c>
      <c r="Q494" s="18" t="str">
        <f t="shared" si="7"/>
        <v>BM PT01 _ A _ Immunodosage par technique KIMS _ Qualitatif _ Automatisée _ 1 _ Cobas 8000</v>
      </c>
      <c r="R494" s="286"/>
    </row>
    <row r="495" spans="1:18" ht="51" x14ac:dyDescent="0.2">
      <c r="A495" s="39" t="s">
        <v>20</v>
      </c>
      <c r="B495" s="238" t="s">
        <v>932</v>
      </c>
      <c r="C495" s="21" t="s">
        <v>22</v>
      </c>
      <c r="D495" s="239" t="s">
        <v>1128</v>
      </c>
      <c r="E495" s="39" t="s">
        <v>1159</v>
      </c>
      <c r="F495" s="39" t="s">
        <v>292</v>
      </c>
      <c r="G495" s="21" t="s">
        <v>1157</v>
      </c>
      <c r="H495" s="39" t="s">
        <v>170</v>
      </c>
      <c r="I495" s="21" t="s">
        <v>28</v>
      </c>
      <c r="J495" s="398">
        <v>1</v>
      </c>
      <c r="K495" s="21" t="s">
        <v>326</v>
      </c>
      <c r="L495" s="39" t="s">
        <v>1160</v>
      </c>
      <c r="M495" s="41" t="s">
        <v>1825</v>
      </c>
      <c r="N495" s="42" t="s">
        <v>1131</v>
      </c>
      <c r="O495" s="16" t="s">
        <v>31</v>
      </c>
      <c r="P495" s="91">
        <v>595</v>
      </c>
      <c r="Q495" s="18" t="str">
        <f t="shared" si="7"/>
        <v>BM PT01 _ A _ Immunodosage par technique KIMS _ Qualitatif _ Automatisée _ 1 _ Cobas 8000</v>
      </c>
      <c r="R495" s="286"/>
    </row>
    <row r="496" spans="1:18" ht="51" x14ac:dyDescent="0.2">
      <c r="A496" s="39" t="s">
        <v>20</v>
      </c>
      <c r="B496" s="238" t="s">
        <v>932</v>
      </c>
      <c r="C496" s="21" t="s">
        <v>22</v>
      </c>
      <c r="D496" s="239" t="s">
        <v>1128</v>
      </c>
      <c r="E496" s="39" t="s">
        <v>1161</v>
      </c>
      <c r="F496" s="39" t="s">
        <v>292</v>
      </c>
      <c r="G496" s="21" t="s">
        <v>1157</v>
      </c>
      <c r="H496" s="39" t="s">
        <v>170</v>
      </c>
      <c r="I496" s="21" t="s">
        <v>28</v>
      </c>
      <c r="J496" s="398">
        <v>1</v>
      </c>
      <c r="K496" s="399" t="s">
        <v>1617</v>
      </c>
      <c r="L496" s="401" t="s">
        <v>1684</v>
      </c>
      <c r="M496" s="41" t="s">
        <v>1825</v>
      </c>
      <c r="N496" s="42" t="s">
        <v>1131</v>
      </c>
      <c r="O496" s="16" t="s">
        <v>31</v>
      </c>
      <c r="P496" s="91">
        <v>1187</v>
      </c>
      <c r="Q496" s="18" t="str">
        <f t="shared" si="7"/>
        <v>BM PT01 _ A _ Immunodosage par technique KIMS _ Qualitatif _ Automatisée _ 1 _ Cobas Pro</v>
      </c>
      <c r="R496" s="286"/>
    </row>
    <row r="497" spans="1:18" ht="51" x14ac:dyDescent="0.2">
      <c r="A497" s="39" t="s">
        <v>20</v>
      </c>
      <c r="B497" s="238" t="s">
        <v>932</v>
      </c>
      <c r="C497" s="21" t="s">
        <v>22</v>
      </c>
      <c r="D497" s="239" t="s">
        <v>1128</v>
      </c>
      <c r="E497" s="39" t="s">
        <v>1162</v>
      </c>
      <c r="F497" s="39" t="s">
        <v>25</v>
      </c>
      <c r="G497" s="21" t="s">
        <v>1163</v>
      </c>
      <c r="H497" s="39" t="s">
        <v>27</v>
      </c>
      <c r="I497" s="21" t="s">
        <v>182</v>
      </c>
      <c r="J497" s="398">
        <v>1</v>
      </c>
      <c r="K497" s="399" t="s">
        <v>1617</v>
      </c>
      <c r="L497" s="401" t="s">
        <v>1685</v>
      </c>
      <c r="M497" s="41" t="s">
        <v>1825</v>
      </c>
      <c r="N497" s="42" t="s">
        <v>1131</v>
      </c>
      <c r="O497" s="16" t="s">
        <v>31</v>
      </c>
      <c r="P497" s="91">
        <v>2024</v>
      </c>
      <c r="Q497" s="18" t="str">
        <f t="shared" si="7"/>
        <v>BM PT01 _ A _ Méthode immunoenzymatique CEDIA   _ Quantitatif _ Semi-automatisée _ 1 _ Cobas Pro</v>
      </c>
      <c r="R497" s="286"/>
    </row>
    <row r="498" spans="1:18" ht="51" x14ac:dyDescent="0.2">
      <c r="A498" s="39" t="s">
        <v>20</v>
      </c>
      <c r="B498" s="238" t="s">
        <v>932</v>
      </c>
      <c r="C498" s="21" t="s">
        <v>22</v>
      </c>
      <c r="D498" s="239" t="s">
        <v>1128</v>
      </c>
      <c r="E498" s="39" t="s">
        <v>1164</v>
      </c>
      <c r="F498" s="39" t="s">
        <v>292</v>
      </c>
      <c r="G498" s="21" t="s">
        <v>1157</v>
      </c>
      <c r="H498" s="39" t="s">
        <v>170</v>
      </c>
      <c r="I498" s="21" t="s">
        <v>28</v>
      </c>
      <c r="J498" s="398">
        <v>1</v>
      </c>
      <c r="K498" s="21" t="s">
        <v>326</v>
      </c>
      <c r="L498" s="39" t="s">
        <v>1165</v>
      </c>
      <c r="M498" s="41" t="s">
        <v>1825</v>
      </c>
      <c r="N498" s="42" t="s">
        <v>1131</v>
      </c>
      <c r="O498" s="16" t="s">
        <v>31</v>
      </c>
      <c r="P498" s="91">
        <v>1205</v>
      </c>
      <c r="Q498" s="18" t="str">
        <f t="shared" si="7"/>
        <v>BM PT01 _ A _ Immunodosage par technique KIMS _ Qualitatif _ Automatisée _ 1 _ Cobas 8000</v>
      </c>
      <c r="R498" s="286"/>
    </row>
    <row r="499" spans="1:18" ht="51" x14ac:dyDescent="0.2">
      <c r="A499" s="39" t="s">
        <v>20</v>
      </c>
      <c r="B499" s="238" t="s">
        <v>932</v>
      </c>
      <c r="C499" s="21" t="s">
        <v>22</v>
      </c>
      <c r="D499" s="239" t="s">
        <v>1128</v>
      </c>
      <c r="E499" s="39" t="s">
        <v>1166</v>
      </c>
      <c r="F499" s="39" t="s">
        <v>292</v>
      </c>
      <c r="G499" s="21" t="s">
        <v>1157</v>
      </c>
      <c r="H499" s="39" t="s">
        <v>170</v>
      </c>
      <c r="I499" s="21" t="s">
        <v>28</v>
      </c>
      <c r="J499" s="398">
        <v>1</v>
      </c>
      <c r="K499" s="399" t="s">
        <v>1617</v>
      </c>
      <c r="L499" s="401" t="s">
        <v>1686</v>
      </c>
      <c r="M499" s="41" t="s">
        <v>1825</v>
      </c>
      <c r="N499" s="42" t="s">
        <v>1131</v>
      </c>
      <c r="O499" s="16" t="s">
        <v>31</v>
      </c>
      <c r="P499" s="91">
        <v>1160</v>
      </c>
      <c r="Q499" s="18" t="str">
        <f t="shared" si="7"/>
        <v>BM PT01 _ A _ Immunodosage par technique KIMS _ Qualitatif _ Automatisée _ 1 _ Cobas Pro</v>
      </c>
      <c r="R499" s="286"/>
    </row>
    <row r="500" spans="1:18" ht="51" x14ac:dyDescent="0.2">
      <c r="A500" s="39" t="s">
        <v>20</v>
      </c>
      <c r="B500" s="238" t="s">
        <v>932</v>
      </c>
      <c r="C500" s="21" t="s">
        <v>22</v>
      </c>
      <c r="D500" s="239" t="s">
        <v>1128</v>
      </c>
      <c r="E500" s="39" t="s">
        <v>1167</v>
      </c>
      <c r="F500" s="39" t="s">
        <v>788</v>
      </c>
      <c r="G500" s="21" t="s">
        <v>1047</v>
      </c>
      <c r="H500" s="39" t="s">
        <v>170</v>
      </c>
      <c r="I500" s="21" t="s">
        <v>28</v>
      </c>
      <c r="J500" s="398">
        <v>1</v>
      </c>
      <c r="K500" s="21" t="s">
        <v>326</v>
      </c>
      <c r="L500" s="39" t="s">
        <v>1168</v>
      </c>
      <c r="M500" s="41" t="s">
        <v>1825</v>
      </c>
      <c r="N500" s="42" t="s">
        <v>1131</v>
      </c>
      <c r="O500" s="16" t="s">
        <v>31</v>
      </c>
      <c r="P500" s="91">
        <v>3391</v>
      </c>
      <c r="Q500" s="18" t="str">
        <f t="shared" si="7"/>
        <v>BM PT01 _ A _ Immunoenzymatique _ Qualitatif _ Automatisée _ 1 _ Cobas 8000</v>
      </c>
      <c r="R500" s="286"/>
    </row>
    <row r="501" spans="1:18" ht="51" x14ac:dyDescent="0.2">
      <c r="A501" s="39" t="s">
        <v>20</v>
      </c>
      <c r="B501" s="238" t="s">
        <v>932</v>
      </c>
      <c r="C501" s="21" t="s">
        <v>22</v>
      </c>
      <c r="D501" s="239" t="s">
        <v>1128</v>
      </c>
      <c r="E501" s="39" t="s">
        <v>1169</v>
      </c>
      <c r="F501" s="39" t="s">
        <v>1170</v>
      </c>
      <c r="G501" s="21" t="s">
        <v>1151</v>
      </c>
      <c r="H501" s="39" t="s">
        <v>170</v>
      </c>
      <c r="I501" s="21" t="s">
        <v>28</v>
      </c>
      <c r="J501" s="398">
        <v>1</v>
      </c>
      <c r="K501" s="21" t="s">
        <v>326</v>
      </c>
      <c r="L501" s="39" t="s">
        <v>1171</v>
      </c>
      <c r="M501" s="41" t="s">
        <v>1825</v>
      </c>
      <c r="N501" s="42" t="s">
        <v>1131</v>
      </c>
      <c r="O501" s="16" t="s">
        <v>31</v>
      </c>
      <c r="P501" s="91">
        <v>4283</v>
      </c>
      <c r="Q501" s="18" t="str">
        <f t="shared" si="7"/>
        <v>BM PT01 _ A _ Technique enzymatique  _ Qualitatif _ Automatisée _ 1 _ Cobas 8000</v>
      </c>
      <c r="R501" s="286"/>
    </row>
    <row r="502" spans="1:18" ht="153" x14ac:dyDescent="0.2">
      <c r="A502" s="14" t="s">
        <v>20</v>
      </c>
      <c r="B502" s="30" t="s">
        <v>932</v>
      </c>
      <c r="C502" s="19" t="s">
        <v>22</v>
      </c>
      <c r="D502" s="15" t="s">
        <v>1128</v>
      </c>
      <c r="E502" s="14" t="s">
        <v>1172</v>
      </c>
      <c r="F502" s="19" t="s">
        <v>25</v>
      </c>
      <c r="G502" s="19" t="s">
        <v>1173</v>
      </c>
      <c r="H502" s="19" t="s">
        <v>27</v>
      </c>
      <c r="I502" s="19" t="s">
        <v>171</v>
      </c>
      <c r="J502" s="16">
        <v>2</v>
      </c>
      <c r="K502" s="19" t="s">
        <v>1174</v>
      </c>
      <c r="L502" s="19" t="s">
        <v>1175</v>
      </c>
      <c r="M502" s="19"/>
      <c r="N502" s="42" t="s">
        <v>1176</v>
      </c>
      <c r="O502" s="16" t="s">
        <v>184</v>
      </c>
      <c r="P502" s="91">
        <v>93</v>
      </c>
      <c r="Q502" s="18" t="str">
        <f t="shared" si="7"/>
        <v>BM PT03 _ B _ Déprotéinisation et Chromatographie liquide haute performance (CHLP) avec détection par spectrométrie de masse en tandem
 _ Quantitatif _ Manuelle _ 2 _ HPLC/MS-MS</v>
      </c>
      <c r="R502" s="286"/>
    </row>
    <row r="503" spans="1:18" ht="153" x14ac:dyDescent="0.2">
      <c r="A503" s="14" t="s">
        <v>20</v>
      </c>
      <c r="B503" s="30" t="s">
        <v>932</v>
      </c>
      <c r="C503" s="19" t="s">
        <v>22</v>
      </c>
      <c r="D503" s="15" t="s">
        <v>1128</v>
      </c>
      <c r="E503" s="14" t="s">
        <v>1177</v>
      </c>
      <c r="F503" s="19" t="s">
        <v>25</v>
      </c>
      <c r="G503" s="19" t="s">
        <v>1173</v>
      </c>
      <c r="H503" s="19" t="s">
        <v>27</v>
      </c>
      <c r="I503" s="19" t="s">
        <v>171</v>
      </c>
      <c r="J503" s="16">
        <v>2</v>
      </c>
      <c r="K503" s="19" t="s">
        <v>1174</v>
      </c>
      <c r="L503" s="19" t="s">
        <v>1178</v>
      </c>
      <c r="M503" s="19"/>
      <c r="N503" s="42" t="s">
        <v>1176</v>
      </c>
      <c r="O503" s="16" t="s">
        <v>184</v>
      </c>
      <c r="P503" s="27">
        <v>521</v>
      </c>
      <c r="Q503" s="18" t="str">
        <f t="shared" si="7"/>
        <v>BM PT03 _ B _ Déprotéinisation et Chromatographie liquide haute performance (CHLP) avec détection par spectrométrie de masse en tandem
 _ Quantitatif _ Manuelle _ 2 _ HPLC/MS-MS</v>
      </c>
      <c r="R503" s="286"/>
    </row>
    <row r="504" spans="1:18" ht="153" x14ac:dyDescent="0.2">
      <c r="A504" s="14" t="s">
        <v>20</v>
      </c>
      <c r="B504" s="30" t="s">
        <v>932</v>
      </c>
      <c r="C504" s="19" t="s">
        <v>22</v>
      </c>
      <c r="D504" s="15" t="s">
        <v>1128</v>
      </c>
      <c r="E504" s="14" t="s">
        <v>1179</v>
      </c>
      <c r="F504" s="19" t="s">
        <v>25</v>
      </c>
      <c r="G504" s="19" t="s">
        <v>1173</v>
      </c>
      <c r="H504" s="19" t="s">
        <v>27</v>
      </c>
      <c r="I504" s="19" t="s">
        <v>171</v>
      </c>
      <c r="J504" s="16">
        <v>1</v>
      </c>
      <c r="K504" s="19" t="s">
        <v>1174</v>
      </c>
      <c r="L504" s="19" t="s">
        <v>1180</v>
      </c>
      <c r="M504" s="19"/>
      <c r="N504" s="42" t="s">
        <v>1176</v>
      </c>
      <c r="O504" s="16" t="s">
        <v>184</v>
      </c>
      <c r="P504" s="27">
        <v>1398</v>
      </c>
      <c r="Q504" s="18" t="str">
        <f t="shared" si="7"/>
        <v>BM PT03 _ B _ Déprotéinisation et Chromatographie liquide haute performance (CHLP) avec détection par spectrométrie de masse en tandem
 _ Quantitatif _ Manuelle _ 1 _ HPLC/MS-MS</v>
      </c>
      <c r="R504" s="286"/>
    </row>
    <row r="505" spans="1:18" ht="153" x14ac:dyDescent="0.2">
      <c r="A505" s="14" t="s">
        <v>20</v>
      </c>
      <c r="B505" s="30" t="s">
        <v>932</v>
      </c>
      <c r="C505" s="19" t="s">
        <v>22</v>
      </c>
      <c r="D505" s="15" t="s">
        <v>1128</v>
      </c>
      <c r="E505" s="20" t="s">
        <v>1181</v>
      </c>
      <c r="F505" s="19" t="s">
        <v>25</v>
      </c>
      <c r="G505" s="19" t="s">
        <v>1173</v>
      </c>
      <c r="H505" s="19" t="s">
        <v>27</v>
      </c>
      <c r="I505" s="19" t="s">
        <v>171</v>
      </c>
      <c r="J505" s="16">
        <v>2</v>
      </c>
      <c r="K505" s="19" t="s">
        <v>1174</v>
      </c>
      <c r="L505" s="19" t="s">
        <v>1182</v>
      </c>
      <c r="M505" s="19"/>
      <c r="N505" s="42" t="s">
        <v>1176</v>
      </c>
      <c r="O505" s="16" t="s">
        <v>184</v>
      </c>
      <c r="P505" s="27">
        <v>5816</v>
      </c>
      <c r="Q505" s="18" t="str">
        <f t="shared" si="7"/>
        <v>BM PT03 _ B _ Déprotéinisation et Chromatographie liquide haute performance (CHLP) avec détection par spectrométrie de masse en tandem
 _ Quantitatif _ Manuelle _ 2 _ HPLC/MS-MS</v>
      </c>
      <c r="R505" s="286"/>
    </row>
    <row r="506" spans="1:18" ht="140.25" x14ac:dyDescent="0.2">
      <c r="A506" s="14" t="s">
        <v>20</v>
      </c>
      <c r="B506" s="30" t="s">
        <v>932</v>
      </c>
      <c r="C506" s="19" t="s">
        <v>22</v>
      </c>
      <c r="D506" s="15" t="s">
        <v>1128</v>
      </c>
      <c r="E506" s="14" t="s">
        <v>1183</v>
      </c>
      <c r="F506" s="19" t="s">
        <v>25</v>
      </c>
      <c r="G506" s="19" t="s">
        <v>1184</v>
      </c>
      <c r="H506" s="19" t="s">
        <v>27</v>
      </c>
      <c r="I506" s="19" t="s">
        <v>171</v>
      </c>
      <c r="J506" s="16">
        <v>1</v>
      </c>
      <c r="K506" s="19" t="s">
        <v>1174</v>
      </c>
      <c r="L506" s="19" t="s">
        <v>1185</v>
      </c>
      <c r="M506" s="21"/>
      <c r="N506" s="42" t="s">
        <v>1176</v>
      </c>
      <c r="O506" s="16" t="s">
        <v>184</v>
      </c>
      <c r="P506" s="91">
        <v>328</v>
      </c>
      <c r="Q506" s="18" t="str">
        <f t="shared" si="7"/>
        <v>BM PT03 _ B _ Déproptéinisation et chromatographie liquide haute performance (CHLP) avec détection par spectrométrie de masse en tandem  _ Quantitatif _ Manuelle _ 1 _ HPLC/MS-MS</v>
      </c>
      <c r="R506" s="286"/>
    </row>
    <row r="507" spans="1:18" ht="114.75" x14ac:dyDescent="0.2">
      <c r="A507" s="14" t="s">
        <v>20</v>
      </c>
      <c r="B507" s="30" t="s">
        <v>932</v>
      </c>
      <c r="C507" s="19" t="s">
        <v>22</v>
      </c>
      <c r="D507" s="15" t="s">
        <v>1128</v>
      </c>
      <c r="E507" s="14" t="s">
        <v>1186</v>
      </c>
      <c r="F507" s="19" t="s">
        <v>25</v>
      </c>
      <c r="G507" s="19" t="s">
        <v>1187</v>
      </c>
      <c r="H507" s="19" t="s">
        <v>27</v>
      </c>
      <c r="I507" s="19" t="s">
        <v>28</v>
      </c>
      <c r="J507" s="16">
        <v>1</v>
      </c>
      <c r="K507" s="19" t="s">
        <v>1188</v>
      </c>
      <c r="L507" s="19" t="s">
        <v>1189</v>
      </c>
      <c r="M507" s="19"/>
      <c r="N507" s="42" t="s">
        <v>1176</v>
      </c>
      <c r="O507" s="16" t="s">
        <v>184</v>
      </c>
      <c r="P507" s="91">
        <v>543</v>
      </c>
      <c r="Q507" s="18" t="str">
        <f t="shared" si="7"/>
        <v>BM PT03 _ B _ Analyse par chromatographie liquide couplée à la spectrométrie de masse en tandem (HPLC-MS/MS) _ Quantitatif _ Automatisée _ 1 _ Système HPLC Shimadzu® couplé à un spectromètre de masse en tandem 4500 Qtrap (ABSciex®).</v>
      </c>
      <c r="R507" s="286"/>
    </row>
    <row r="508" spans="1:18" ht="191.25" x14ac:dyDescent="0.2">
      <c r="A508" s="22" t="s">
        <v>20</v>
      </c>
      <c r="B508" s="377" t="s">
        <v>932</v>
      </c>
      <c r="C508" s="22" t="s">
        <v>22</v>
      </c>
      <c r="D508" s="15" t="s">
        <v>1128</v>
      </c>
      <c r="E508" s="22" t="s">
        <v>1190</v>
      </c>
      <c r="F508" s="22" t="s">
        <v>25</v>
      </c>
      <c r="G508" s="22" t="s">
        <v>1191</v>
      </c>
      <c r="H508" s="22" t="s">
        <v>27</v>
      </c>
      <c r="I508" s="22" t="s">
        <v>28</v>
      </c>
      <c r="J508" s="74">
        <v>2</v>
      </c>
      <c r="K508" s="22" t="s">
        <v>1784</v>
      </c>
      <c r="L508" s="22" t="s">
        <v>1192</v>
      </c>
      <c r="M508" s="22"/>
      <c r="N508" s="109" t="s">
        <v>1176</v>
      </c>
      <c r="O508" s="74" t="s">
        <v>184</v>
      </c>
      <c r="P508" s="378">
        <v>3118</v>
      </c>
      <c r="Q508" s="18" t="str">
        <f t="shared" si="7"/>
        <v>BM PT03 _ B _ Méthode quantitative, déprotéinisation et séparation par chromatographique liquide haute performance (CLHP) avec détection par  spectrométrie de masse en tandem _ Quantitatif _ Automatisée _ 2 _ Système HPLC Shimadzu® couplé à un spectromètre de masse en tandem 4000 Qtrap (ABSciex®)</v>
      </c>
      <c r="R508" s="286"/>
    </row>
    <row r="509" spans="1:18" ht="191.25" x14ac:dyDescent="0.2">
      <c r="A509" s="14" t="s">
        <v>20</v>
      </c>
      <c r="B509" s="30" t="s">
        <v>932</v>
      </c>
      <c r="C509" s="19" t="s">
        <v>22</v>
      </c>
      <c r="D509" s="15" t="s">
        <v>1128</v>
      </c>
      <c r="E509" s="14" t="s">
        <v>1190</v>
      </c>
      <c r="F509" s="19" t="s">
        <v>25</v>
      </c>
      <c r="G509" s="19" t="s">
        <v>1191</v>
      </c>
      <c r="H509" s="19" t="s">
        <v>27</v>
      </c>
      <c r="I509" s="19" t="s">
        <v>28</v>
      </c>
      <c r="J509" s="16">
        <v>2</v>
      </c>
      <c r="K509" s="19" t="s">
        <v>1193</v>
      </c>
      <c r="L509" s="19" t="s">
        <v>1194</v>
      </c>
      <c r="M509" s="19"/>
      <c r="N509" s="42" t="s">
        <v>1176</v>
      </c>
      <c r="O509" s="16" t="s">
        <v>184</v>
      </c>
      <c r="P509" s="91" t="s">
        <v>1195</v>
      </c>
      <c r="Q509" s="18" t="str">
        <f t="shared" si="7"/>
        <v>BM PT03 _ B _ Méthode quantitative, déprotéinisation et séparation par chromatographique liquide haute performance (CLHP) avec détection par  spectrométrie de masse en tandem _ Quantitatif _ Automatisée _ 2 _ Système HPLC Shimadzu® couplé à un spectromètre de masse ABSciex® 4000 QTRAP</v>
      </c>
      <c r="R509" s="286"/>
    </row>
    <row r="510" spans="1:18" ht="102" x14ac:dyDescent="0.2">
      <c r="A510" s="14" t="s">
        <v>20</v>
      </c>
      <c r="B510" s="30" t="s">
        <v>932</v>
      </c>
      <c r="C510" s="19" t="s">
        <v>22</v>
      </c>
      <c r="D510" s="15" t="s">
        <v>1128</v>
      </c>
      <c r="E510" s="20" t="s">
        <v>1196</v>
      </c>
      <c r="F510" s="19" t="s">
        <v>25</v>
      </c>
      <c r="G510" s="19" t="s">
        <v>1197</v>
      </c>
      <c r="H510" s="19" t="s">
        <v>27</v>
      </c>
      <c r="I510" s="19" t="s">
        <v>28</v>
      </c>
      <c r="J510" s="16">
        <v>1</v>
      </c>
      <c r="K510" s="19" t="s">
        <v>1198</v>
      </c>
      <c r="L510" s="19" t="s">
        <v>1199</v>
      </c>
      <c r="M510" s="19"/>
      <c r="N510" s="42" t="s">
        <v>1176</v>
      </c>
      <c r="O510" s="16" t="s">
        <v>184</v>
      </c>
      <c r="P510" s="91">
        <v>313</v>
      </c>
      <c r="Q510" s="18" t="str">
        <f t="shared" si="7"/>
        <v>BM PT03 _ B _ Chromatographie liquide haute performance (CLHP) avec détection par spectrophotométrie _ Quantitatif _ Automatisée _ 1 _ Système chromatographique Waters Acquity UPLC I-class PDA.</v>
      </c>
      <c r="R510" s="286"/>
    </row>
    <row r="511" spans="1:18" ht="102" x14ac:dyDescent="0.2">
      <c r="A511" s="14" t="s">
        <v>20</v>
      </c>
      <c r="B511" s="30" t="s">
        <v>932</v>
      </c>
      <c r="C511" s="19" t="s">
        <v>22</v>
      </c>
      <c r="D511" s="15" t="s">
        <v>1128</v>
      </c>
      <c r="E511" s="14" t="s">
        <v>1200</v>
      </c>
      <c r="F511" s="19" t="s">
        <v>25</v>
      </c>
      <c r="G511" s="19" t="s">
        <v>1201</v>
      </c>
      <c r="H511" s="19" t="s">
        <v>27</v>
      </c>
      <c r="I511" s="19" t="s">
        <v>28</v>
      </c>
      <c r="J511" s="16">
        <v>1</v>
      </c>
      <c r="K511" s="19" t="s">
        <v>1188</v>
      </c>
      <c r="L511" s="19" t="s">
        <v>1202</v>
      </c>
      <c r="M511" s="19"/>
      <c r="N511" s="42" t="s">
        <v>1176</v>
      </c>
      <c r="O511" s="16" t="s">
        <v>184</v>
      </c>
      <c r="P511" s="91">
        <v>437</v>
      </c>
      <c r="Q511" s="18" t="str">
        <f t="shared" si="7"/>
        <v>BM PT03 _ B _ chromatographie liquide couplée à la spectrométrie de masse en tandem (HPLC-MS/MS) _ Quantitatif _ Automatisée _ 1 _ Système HPLC Shimadzu® couplé à un spectromètre de masse en tandem 4500 Qtrap (ABSciex®).</v>
      </c>
      <c r="R511" s="286"/>
    </row>
    <row r="512" spans="1:18" ht="153" customHeight="1" x14ac:dyDescent="0.2">
      <c r="A512" s="14" t="s">
        <v>20</v>
      </c>
      <c r="B512" s="30" t="s">
        <v>932</v>
      </c>
      <c r="C512" s="19" t="s">
        <v>22</v>
      </c>
      <c r="D512" s="15" t="s">
        <v>1128</v>
      </c>
      <c r="E512" s="14" t="s">
        <v>1203</v>
      </c>
      <c r="F512" s="19" t="s">
        <v>25</v>
      </c>
      <c r="G512" s="19" t="s">
        <v>1201</v>
      </c>
      <c r="H512" s="19" t="s">
        <v>27</v>
      </c>
      <c r="I512" s="19" t="s">
        <v>28</v>
      </c>
      <c r="J512" s="16">
        <v>1</v>
      </c>
      <c r="K512" s="19" t="s">
        <v>1188</v>
      </c>
      <c r="L512" s="19" t="s">
        <v>1204</v>
      </c>
      <c r="M512" s="19"/>
      <c r="N512" s="42" t="s">
        <v>1176</v>
      </c>
      <c r="O512" s="16" t="s">
        <v>184</v>
      </c>
      <c r="P512" s="91">
        <v>212</v>
      </c>
      <c r="Q512" s="18" t="str">
        <f t="shared" si="7"/>
        <v>BM PT03 _ B _ chromatographie liquide couplée à la spectrométrie de masse en tandem (HPLC-MS/MS) _ Quantitatif _ Automatisée _ 1 _ Système HPLC Shimadzu® couplé à un spectromètre de masse en tandem 4500 Qtrap (ABSciex®).</v>
      </c>
      <c r="R512" s="286"/>
    </row>
    <row r="513" spans="1:18" ht="153" customHeight="1" x14ac:dyDescent="0.2">
      <c r="A513" s="14" t="s">
        <v>20</v>
      </c>
      <c r="B513" s="30" t="s">
        <v>932</v>
      </c>
      <c r="C513" s="19" t="s">
        <v>22</v>
      </c>
      <c r="D513" s="15" t="s">
        <v>1128</v>
      </c>
      <c r="E513" s="14" t="s">
        <v>1205</v>
      </c>
      <c r="F513" s="19" t="s">
        <v>25</v>
      </c>
      <c r="G513" s="19" t="s">
        <v>1201</v>
      </c>
      <c r="H513" s="19" t="s">
        <v>27</v>
      </c>
      <c r="I513" s="19" t="s">
        <v>28</v>
      </c>
      <c r="J513" s="16">
        <v>1</v>
      </c>
      <c r="K513" s="19" t="s">
        <v>1188</v>
      </c>
      <c r="L513" s="19" t="s">
        <v>1206</v>
      </c>
      <c r="M513" s="19"/>
      <c r="N513" s="42" t="s">
        <v>1176</v>
      </c>
      <c r="O513" s="16" t="s">
        <v>184</v>
      </c>
      <c r="P513" s="91">
        <v>86</v>
      </c>
      <c r="Q513" s="18" t="str">
        <f t="shared" si="7"/>
        <v>BM PT03 _ B _ chromatographie liquide couplée à la spectrométrie de masse en tandem (HPLC-MS/MS) _ Quantitatif _ Automatisée _ 1 _ Système HPLC Shimadzu® couplé à un spectromètre de masse en tandem 4500 Qtrap (ABSciex®).</v>
      </c>
      <c r="R513" s="286"/>
    </row>
    <row r="514" spans="1:18" ht="102" x14ac:dyDescent="0.2">
      <c r="A514" s="14" t="s">
        <v>20</v>
      </c>
      <c r="B514" s="30" t="s">
        <v>932</v>
      </c>
      <c r="C514" s="19" t="s">
        <v>22</v>
      </c>
      <c r="D514" s="15" t="s">
        <v>1128</v>
      </c>
      <c r="E514" s="14" t="s">
        <v>1207</v>
      </c>
      <c r="F514" s="19" t="s">
        <v>25</v>
      </c>
      <c r="G514" s="19" t="s">
        <v>1201</v>
      </c>
      <c r="H514" s="19" t="s">
        <v>27</v>
      </c>
      <c r="I514" s="19" t="s">
        <v>28</v>
      </c>
      <c r="J514" s="16">
        <v>1</v>
      </c>
      <c r="K514" s="19" t="s">
        <v>1188</v>
      </c>
      <c r="L514" s="19" t="s">
        <v>1208</v>
      </c>
      <c r="M514" s="19"/>
      <c r="N514" s="42" t="s">
        <v>1176</v>
      </c>
      <c r="O514" s="16" t="s">
        <v>184</v>
      </c>
      <c r="P514" s="91">
        <v>83</v>
      </c>
      <c r="Q514" s="18" t="str">
        <f t="shared" si="7"/>
        <v>BM PT03 _ B _ chromatographie liquide couplée à la spectrométrie de masse en tandem (HPLC-MS/MS) _ Quantitatif _ Automatisée _ 1 _ Système HPLC Shimadzu® couplé à un spectromètre de masse en tandem 4500 Qtrap (ABSciex®).</v>
      </c>
      <c r="R514" s="286"/>
    </row>
    <row r="515" spans="1:18" ht="102" x14ac:dyDescent="0.2">
      <c r="A515" s="14" t="s">
        <v>20</v>
      </c>
      <c r="B515" s="30" t="s">
        <v>932</v>
      </c>
      <c r="C515" s="19" t="s">
        <v>22</v>
      </c>
      <c r="D515" s="15" t="s">
        <v>1128</v>
      </c>
      <c r="E515" s="14" t="s">
        <v>1209</v>
      </c>
      <c r="F515" s="19" t="s">
        <v>25</v>
      </c>
      <c r="G515" s="19" t="s">
        <v>1201</v>
      </c>
      <c r="H515" s="19" t="s">
        <v>27</v>
      </c>
      <c r="I515" s="19" t="s">
        <v>28</v>
      </c>
      <c r="J515" s="16">
        <v>1</v>
      </c>
      <c r="K515" s="19" t="s">
        <v>1188</v>
      </c>
      <c r="L515" s="19" t="s">
        <v>1210</v>
      </c>
      <c r="M515" s="19"/>
      <c r="N515" s="42" t="s">
        <v>1176</v>
      </c>
      <c r="O515" s="16" t="s">
        <v>184</v>
      </c>
      <c r="P515" s="91">
        <v>101</v>
      </c>
      <c r="Q515" s="18" t="str">
        <f t="shared" si="7"/>
        <v>BM PT03 _ B _ chromatographie liquide couplée à la spectrométrie de masse en tandem (HPLC-MS/MS) _ Quantitatif _ Automatisée _ 1 _ Système HPLC Shimadzu® couplé à un spectromètre de masse en tandem 4500 Qtrap (ABSciex®).</v>
      </c>
      <c r="R515" s="286"/>
    </row>
    <row r="516" spans="1:18" ht="102" x14ac:dyDescent="0.2">
      <c r="A516" s="14" t="s">
        <v>20</v>
      </c>
      <c r="B516" s="30" t="s">
        <v>932</v>
      </c>
      <c r="C516" s="19" t="s">
        <v>22</v>
      </c>
      <c r="D516" s="15" t="s">
        <v>1128</v>
      </c>
      <c r="E516" s="14" t="s">
        <v>1211</v>
      </c>
      <c r="F516" s="19" t="s">
        <v>25</v>
      </c>
      <c r="G516" s="19" t="s">
        <v>1201</v>
      </c>
      <c r="H516" s="19" t="s">
        <v>27</v>
      </c>
      <c r="I516" s="19" t="s">
        <v>28</v>
      </c>
      <c r="J516" s="16">
        <v>1</v>
      </c>
      <c r="K516" s="19" t="s">
        <v>1188</v>
      </c>
      <c r="L516" s="19" t="s">
        <v>1212</v>
      </c>
      <c r="M516" s="19"/>
      <c r="N516" s="42" t="s">
        <v>1176</v>
      </c>
      <c r="O516" s="16" t="s">
        <v>184</v>
      </c>
      <c r="P516" s="91">
        <v>523</v>
      </c>
      <c r="Q516" s="18" t="str">
        <f t="shared" si="7"/>
        <v>BM PT03 _ B _ chromatographie liquide couplée à la spectrométrie de masse en tandem (HPLC-MS/MS) _ Quantitatif _ Automatisée _ 1 _ Système HPLC Shimadzu® couplé à un spectromètre de masse en tandem 4500 Qtrap (ABSciex®).</v>
      </c>
      <c r="R516" s="286"/>
    </row>
    <row r="517" spans="1:18" ht="102" x14ac:dyDescent="0.2">
      <c r="A517" s="14" t="s">
        <v>20</v>
      </c>
      <c r="B517" s="30" t="s">
        <v>932</v>
      </c>
      <c r="C517" s="19" t="s">
        <v>22</v>
      </c>
      <c r="D517" s="15" t="s">
        <v>1128</v>
      </c>
      <c r="E517" s="14" t="s">
        <v>1213</v>
      </c>
      <c r="F517" s="19" t="s">
        <v>25</v>
      </c>
      <c r="G517" s="19" t="s">
        <v>1201</v>
      </c>
      <c r="H517" s="19" t="s">
        <v>27</v>
      </c>
      <c r="I517" s="19" t="s">
        <v>28</v>
      </c>
      <c r="J517" s="16">
        <v>1</v>
      </c>
      <c r="K517" s="19" t="s">
        <v>1188</v>
      </c>
      <c r="L517" s="19" t="s">
        <v>1214</v>
      </c>
      <c r="M517" s="19"/>
      <c r="N517" s="42" t="s">
        <v>1176</v>
      </c>
      <c r="O517" s="16" t="s">
        <v>184</v>
      </c>
      <c r="P517" s="91">
        <v>19</v>
      </c>
      <c r="Q517" s="18" t="str">
        <f t="shared" si="7"/>
        <v>BM PT03 _ B _ chromatographie liquide couplée à la spectrométrie de masse en tandem (HPLC-MS/MS) _ Quantitatif _ Automatisée _ 1 _ Système HPLC Shimadzu® couplé à un spectromètre de masse en tandem 4500 Qtrap (ABSciex®).</v>
      </c>
      <c r="R517" s="286"/>
    </row>
    <row r="518" spans="1:18" ht="102" x14ac:dyDescent="0.2">
      <c r="A518" s="14" t="s">
        <v>20</v>
      </c>
      <c r="B518" s="30" t="s">
        <v>932</v>
      </c>
      <c r="C518" s="19" t="s">
        <v>22</v>
      </c>
      <c r="D518" s="15" t="s">
        <v>1128</v>
      </c>
      <c r="E518" s="14" t="s">
        <v>1215</v>
      </c>
      <c r="F518" s="19" t="s">
        <v>25</v>
      </c>
      <c r="G518" s="19" t="s">
        <v>1201</v>
      </c>
      <c r="H518" s="19" t="s">
        <v>27</v>
      </c>
      <c r="I518" s="19" t="s">
        <v>28</v>
      </c>
      <c r="J518" s="16">
        <v>1</v>
      </c>
      <c r="K518" s="19" t="s">
        <v>1188</v>
      </c>
      <c r="L518" s="19" t="s">
        <v>1216</v>
      </c>
      <c r="M518" s="19"/>
      <c r="N518" s="42" t="s">
        <v>1176</v>
      </c>
      <c r="O518" s="16" t="s">
        <v>184</v>
      </c>
      <c r="P518" s="91">
        <v>69</v>
      </c>
      <c r="Q518" s="18" t="str">
        <f t="shared" si="7"/>
        <v>BM PT03 _ B _ chromatographie liquide couplée à la spectrométrie de masse en tandem (HPLC-MS/MS) _ Quantitatif _ Automatisée _ 1 _ Système HPLC Shimadzu® couplé à un spectromètre de masse en tandem 4500 Qtrap (ABSciex®).</v>
      </c>
      <c r="R518" s="286"/>
    </row>
    <row r="519" spans="1:18" ht="102" x14ac:dyDescent="0.2">
      <c r="A519" s="14" t="s">
        <v>20</v>
      </c>
      <c r="B519" s="30" t="s">
        <v>932</v>
      </c>
      <c r="C519" s="19" t="s">
        <v>22</v>
      </c>
      <c r="D519" s="15" t="s">
        <v>1128</v>
      </c>
      <c r="E519" s="14" t="s">
        <v>1217</v>
      </c>
      <c r="F519" s="19" t="s">
        <v>25</v>
      </c>
      <c r="G519" s="19" t="s">
        <v>1201</v>
      </c>
      <c r="H519" s="19" t="s">
        <v>27</v>
      </c>
      <c r="I519" s="19" t="s">
        <v>28</v>
      </c>
      <c r="J519" s="16">
        <v>1</v>
      </c>
      <c r="K519" s="19" t="s">
        <v>1188</v>
      </c>
      <c r="L519" s="19" t="s">
        <v>1218</v>
      </c>
      <c r="M519" s="19"/>
      <c r="N519" s="42" t="s">
        <v>1176</v>
      </c>
      <c r="O519" s="16" t="s">
        <v>184</v>
      </c>
      <c r="P519" s="91">
        <v>372</v>
      </c>
      <c r="Q519" s="18" t="str">
        <f t="shared" si="7"/>
        <v>BM PT03 _ B _ chromatographie liquide couplée à la spectrométrie de masse en tandem (HPLC-MS/MS) _ Quantitatif _ Automatisée _ 1 _ Système HPLC Shimadzu® couplé à un spectromètre de masse en tandem 4500 Qtrap (ABSciex®).</v>
      </c>
      <c r="R519" s="286"/>
    </row>
    <row r="520" spans="1:18" ht="127.5" x14ac:dyDescent="0.2">
      <c r="A520" s="14" t="s">
        <v>20</v>
      </c>
      <c r="B520" s="30" t="s">
        <v>932</v>
      </c>
      <c r="C520" s="19" t="s">
        <v>22</v>
      </c>
      <c r="D520" s="15" t="s">
        <v>1128</v>
      </c>
      <c r="E520" s="14" t="s">
        <v>1219</v>
      </c>
      <c r="F520" s="19" t="s">
        <v>788</v>
      </c>
      <c r="G520" s="19" t="s">
        <v>1220</v>
      </c>
      <c r="H520" s="19" t="s">
        <v>27</v>
      </c>
      <c r="I520" s="19" t="s">
        <v>28</v>
      </c>
      <c r="J520" s="16">
        <v>1</v>
      </c>
      <c r="K520" s="19" t="s">
        <v>1188</v>
      </c>
      <c r="L520" s="19" t="s">
        <v>1221</v>
      </c>
      <c r="M520" s="19"/>
      <c r="N520" s="42" t="s">
        <v>1176</v>
      </c>
      <c r="O520" s="16" t="s">
        <v>184</v>
      </c>
      <c r="P520" s="91">
        <v>29</v>
      </c>
      <c r="Q520" s="18" t="str">
        <f t="shared" si="7"/>
        <v>BM PT03 _ B _ Chromatographie liquide haute performance (CHLP) avec détection par spectrométrie de masse en tandem (LC-MS/MS) _ Quantitatif _ Automatisée _ 1 _ Système HPLC Shimadzu® couplé à un spectromètre de masse en tandem 4500 Qtrap (ABSciex®).</v>
      </c>
      <c r="R520" s="286"/>
    </row>
    <row r="521" spans="1:18" ht="121.5" customHeight="1" x14ac:dyDescent="0.2">
      <c r="A521" s="14" t="s">
        <v>20</v>
      </c>
      <c r="B521" s="30" t="s">
        <v>932</v>
      </c>
      <c r="C521" s="19" t="s">
        <v>22</v>
      </c>
      <c r="D521" s="15" t="s">
        <v>1128</v>
      </c>
      <c r="E521" s="243" t="s">
        <v>1222</v>
      </c>
      <c r="F521" s="14" t="s">
        <v>1223</v>
      </c>
      <c r="G521" s="244" t="s">
        <v>1224</v>
      </c>
      <c r="H521" s="14" t="s">
        <v>170</v>
      </c>
      <c r="I521" s="22" t="s">
        <v>28</v>
      </c>
      <c r="J521" s="16">
        <v>1</v>
      </c>
      <c r="K521" s="14" t="s">
        <v>1188</v>
      </c>
      <c r="L521" s="14" t="s">
        <v>1225</v>
      </c>
      <c r="M521" s="14"/>
      <c r="N521" s="26" t="s">
        <v>1176</v>
      </c>
      <c r="O521" s="16" t="s">
        <v>184</v>
      </c>
      <c r="P521" s="130">
        <v>404</v>
      </c>
      <c r="Q521" s="18" t="str">
        <f t="shared" si="7"/>
        <v>BM PT03 _ B _ Chromatographie liquide avec détection par spectrométrie de masse _ Qualitatif _ Automatisée _ 1 _ Système HPLC Shimadzu® couplé à un spectromètre de masse en tandem 4500 Qtrap (ABSciex®).</v>
      </c>
      <c r="R521" s="286"/>
    </row>
    <row r="522" spans="1:18" ht="102" x14ac:dyDescent="0.2">
      <c r="A522" s="14" t="s">
        <v>20</v>
      </c>
      <c r="B522" s="30" t="s">
        <v>932</v>
      </c>
      <c r="C522" s="19" t="s">
        <v>22</v>
      </c>
      <c r="D522" s="15" t="s">
        <v>1128</v>
      </c>
      <c r="E522" s="14" t="s">
        <v>1226</v>
      </c>
      <c r="F522" s="19" t="s">
        <v>25</v>
      </c>
      <c r="G522" s="19" t="s">
        <v>1201</v>
      </c>
      <c r="H522" s="19" t="s">
        <v>27</v>
      </c>
      <c r="I522" s="19" t="s">
        <v>28</v>
      </c>
      <c r="J522" s="16">
        <v>1</v>
      </c>
      <c r="K522" s="19" t="s">
        <v>1188</v>
      </c>
      <c r="L522" s="19" t="s">
        <v>1227</v>
      </c>
      <c r="M522" s="19"/>
      <c r="N522" s="42" t="s">
        <v>1176</v>
      </c>
      <c r="O522" s="16" t="s">
        <v>184</v>
      </c>
      <c r="P522" s="91">
        <v>174</v>
      </c>
      <c r="Q522" s="18" t="str">
        <f t="shared" si="7"/>
        <v>BM PT03 _ B _ chromatographie liquide couplée à la spectrométrie de masse en tandem (HPLC-MS/MS) _ Quantitatif _ Automatisée _ 1 _ Système HPLC Shimadzu® couplé à un spectromètre de masse en tandem 4500 Qtrap (ABSciex®).</v>
      </c>
      <c r="R522" s="286"/>
    </row>
    <row r="523" spans="1:18" ht="140.25" x14ac:dyDescent="0.2">
      <c r="A523" s="17" t="s">
        <v>20</v>
      </c>
      <c r="B523" s="164" t="s">
        <v>932</v>
      </c>
      <c r="C523" s="163" t="s">
        <v>22</v>
      </c>
      <c r="D523" s="165" t="s">
        <v>1128</v>
      </c>
      <c r="E523" s="166" t="s">
        <v>1398</v>
      </c>
      <c r="F523" s="163" t="s">
        <v>25</v>
      </c>
      <c r="G523" s="163" t="s">
        <v>1399</v>
      </c>
      <c r="H523" s="163" t="s">
        <v>27</v>
      </c>
      <c r="I523" s="163" t="s">
        <v>28</v>
      </c>
      <c r="J523" s="167">
        <v>1</v>
      </c>
      <c r="K523" s="163" t="s">
        <v>1400</v>
      </c>
      <c r="L523" s="163" t="s">
        <v>1401</v>
      </c>
      <c r="M523" s="163" t="s">
        <v>1491</v>
      </c>
      <c r="N523" s="168" t="s">
        <v>1402</v>
      </c>
      <c r="O523" s="167" t="s">
        <v>184</v>
      </c>
      <c r="P523" s="169">
        <v>14</v>
      </c>
      <c r="Q523" s="18" t="str">
        <f t="shared" si="7"/>
        <v>BM PT04 _ B _ Chromatographie en phase gazeuse avec passeur Headspace couplée à un détecteur à ionisation de flamme (CPG-HS-FID) _ Quantitatif _ Automatisée _ 1 _ GC-HS-FID Perkin Elmer (Clarus 580 + TurboMatrix HS16)</v>
      </c>
      <c r="R523" s="286"/>
    </row>
    <row r="524" spans="1:18" ht="127.5" x14ac:dyDescent="0.2">
      <c r="A524" s="39" t="s">
        <v>20</v>
      </c>
      <c r="B524" s="238" t="s">
        <v>932</v>
      </c>
      <c r="C524" s="238" t="s">
        <v>1228</v>
      </c>
      <c r="D524" s="239" t="s">
        <v>1229</v>
      </c>
      <c r="E524" s="238" t="s">
        <v>1219</v>
      </c>
      <c r="F524" s="238" t="s">
        <v>25</v>
      </c>
      <c r="G524" s="238" t="s">
        <v>1220</v>
      </c>
      <c r="H524" s="238" t="s">
        <v>27</v>
      </c>
      <c r="I524" s="238" t="s">
        <v>171</v>
      </c>
      <c r="J524" s="240">
        <v>1</v>
      </c>
      <c r="K524" s="238"/>
      <c r="L524" s="238" t="s">
        <v>1221</v>
      </c>
      <c r="M524" s="21"/>
      <c r="N524" s="21" t="s">
        <v>1230</v>
      </c>
      <c r="O524" s="240" t="s">
        <v>184</v>
      </c>
      <c r="P524" s="241">
        <v>29</v>
      </c>
      <c r="Q524" s="18" t="str">
        <f t="shared" si="7"/>
        <v xml:space="preserve">ML TO03 _ B _ Chromatographie liquide haute performance (CHLP) avec détection par spectrométrie de masse en tandem (LC-MS/MS) _ Quantitatif _ Manuelle _ 1 _ </v>
      </c>
      <c r="R524" s="286"/>
    </row>
    <row r="525" spans="1:18" ht="114.75" x14ac:dyDescent="0.2">
      <c r="A525" s="39" t="s">
        <v>20</v>
      </c>
      <c r="B525" s="238" t="s">
        <v>932</v>
      </c>
      <c r="C525" s="238" t="s">
        <v>1228</v>
      </c>
      <c r="D525" s="239" t="s">
        <v>1229</v>
      </c>
      <c r="E525" s="238" t="s">
        <v>1143</v>
      </c>
      <c r="F525" s="238" t="s">
        <v>25</v>
      </c>
      <c r="G525" s="238" t="s">
        <v>1231</v>
      </c>
      <c r="H525" s="238" t="s">
        <v>27</v>
      </c>
      <c r="I525" s="238" t="s">
        <v>171</v>
      </c>
      <c r="J525" s="240">
        <v>1</v>
      </c>
      <c r="K525" s="238"/>
      <c r="L525" s="238" t="s">
        <v>1232</v>
      </c>
      <c r="M525" s="21"/>
      <c r="N525" s="21" t="s">
        <v>1233</v>
      </c>
      <c r="O525" s="240" t="s">
        <v>184</v>
      </c>
      <c r="P525" s="242" t="s">
        <v>1234</v>
      </c>
      <c r="Q525" s="18" t="str">
        <f t="shared" si="7"/>
        <v xml:space="preserve">ML TO04 _ B _ Chromatographie en phase gazeuse couplée à un détecteur à ionisation de flamme (CPG-FID) _ Quantitatif _ Manuelle _ 1 _ </v>
      </c>
      <c r="R525" s="286"/>
    </row>
    <row r="526" spans="1:18" ht="38.25" x14ac:dyDescent="0.2">
      <c r="A526" s="14" t="s">
        <v>20</v>
      </c>
      <c r="B526" s="14" t="s">
        <v>939</v>
      </c>
      <c r="C526" s="14" t="s">
        <v>22</v>
      </c>
      <c r="D526" s="19" t="s">
        <v>213</v>
      </c>
      <c r="E526" s="20" t="s">
        <v>1235</v>
      </c>
      <c r="F526" s="14" t="s">
        <v>951</v>
      </c>
      <c r="G526" s="14" t="s">
        <v>1236</v>
      </c>
      <c r="H526" s="14" t="s">
        <v>170</v>
      </c>
      <c r="I526" s="14" t="s">
        <v>171</v>
      </c>
      <c r="J526" s="14"/>
      <c r="K526" s="14"/>
      <c r="L526" s="14" t="s">
        <v>1237</v>
      </c>
      <c r="M526" s="22"/>
      <c r="N526" s="14" t="s">
        <v>251</v>
      </c>
      <c r="O526" s="16" t="s">
        <v>31</v>
      </c>
      <c r="P526" s="41">
        <v>282</v>
      </c>
      <c r="Q526" s="18" t="str">
        <f t="shared" si="7"/>
        <v xml:space="preserve">BM MG01 _ A _ Western-blot _ Qualitatif _ Manuelle _  _ </v>
      </c>
      <c r="R526" s="286"/>
    </row>
    <row r="527" spans="1:18" ht="38.25" x14ac:dyDescent="0.2">
      <c r="A527" s="14" t="s">
        <v>20</v>
      </c>
      <c r="B527" s="14" t="s">
        <v>939</v>
      </c>
      <c r="C527" s="14" t="s">
        <v>22</v>
      </c>
      <c r="D527" s="19" t="s">
        <v>213</v>
      </c>
      <c r="E527" s="20" t="s">
        <v>1238</v>
      </c>
      <c r="F527" s="14" t="s">
        <v>951</v>
      </c>
      <c r="G527" s="14" t="s">
        <v>964</v>
      </c>
      <c r="H527" s="14" t="s">
        <v>27</v>
      </c>
      <c r="I527" s="14" t="s">
        <v>28</v>
      </c>
      <c r="J527" s="74">
        <v>1</v>
      </c>
      <c r="K527" s="14" t="s">
        <v>996</v>
      </c>
      <c r="L527" s="14" t="s">
        <v>1239</v>
      </c>
      <c r="M527" s="22"/>
      <c r="N527" s="14" t="s">
        <v>251</v>
      </c>
      <c r="O527" s="16" t="s">
        <v>31</v>
      </c>
      <c r="P527" s="41">
        <v>16</v>
      </c>
      <c r="Q527" s="18" t="str">
        <f t="shared" si="7"/>
        <v>BM MG01 _ A _ EIA _ Quantitatif _ Automatisée _ 1 _ Vidas</v>
      </c>
      <c r="R527" s="286"/>
    </row>
    <row r="528" spans="1:18" ht="38.25" x14ac:dyDescent="0.2">
      <c r="A528" s="14" t="s">
        <v>20</v>
      </c>
      <c r="B528" s="14" t="s">
        <v>939</v>
      </c>
      <c r="C528" s="14" t="s">
        <v>22</v>
      </c>
      <c r="D528" s="19" t="s">
        <v>213</v>
      </c>
      <c r="E528" s="14" t="s">
        <v>1240</v>
      </c>
      <c r="F528" s="14" t="s">
        <v>951</v>
      </c>
      <c r="G528" s="14" t="s">
        <v>1236</v>
      </c>
      <c r="H528" s="14" t="s">
        <v>170</v>
      </c>
      <c r="I528" s="14" t="s">
        <v>171</v>
      </c>
      <c r="J528" s="14"/>
      <c r="K528" s="14"/>
      <c r="L528" s="14" t="s">
        <v>1241</v>
      </c>
      <c r="M528" s="22"/>
      <c r="N528" s="14" t="s">
        <v>251</v>
      </c>
      <c r="O528" s="16" t="s">
        <v>31</v>
      </c>
      <c r="P528" s="41">
        <v>13</v>
      </c>
      <c r="Q528" s="18" t="str">
        <f t="shared" ref="Q528:Q591" si="8">CONCATENATE(N528," _ ",O528," _ ",G528," _ ",H528," _ ",I528," _ ",J528," _ ",K528)</f>
        <v xml:space="preserve">BM MG01 _ A _ Western-blot _ Qualitatif _ Manuelle _  _ </v>
      </c>
      <c r="R528" s="286"/>
    </row>
    <row r="529" spans="1:21" ht="38.25" x14ac:dyDescent="0.2">
      <c r="A529" s="14" t="s">
        <v>20</v>
      </c>
      <c r="B529" s="14" t="s">
        <v>939</v>
      </c>
      <c r="C529" s="14" t="s">
        <v>22</v>
      </c>
      <c r="D529" s="19" t="s">
        <v>213</v>
      </c>
      <c r="E529" s="14" t="s">
        <v>1242</v>
      </c>
      <c r="F529" s="14" t="s">
        <v>951</v>
      </c>
      <c r="G529" s="14" t="s">
        <v>1236</v>
      </c>
      <c r="H529" s="14" t="s">
        <v>170</v>
      </c>
      <c r="I529" s="14" t="s">
        <v>171</v>
      </c>
      <c r="J529" s="14"/>
      <c r="K529" s="14"/>
      <c r="L529" s="14" t="s">
        <v>1243</v>
      </c>
      <c r="M529" s="22"/>
      <c r="N529" s="14" t="s">
        <v>251</v>
      </c>
      <c r="O529" s="16" t="s">
        <v>31</v>
      </c>
      <c r="P529" s="41">
        <v>54</v>
      </c>
      <c r="Q529" s="18" t="str">
        <f t="shared" si="8"/>
        <v xml:space="preserve">BM MG01 _ A _ Western-blot _ Qualitatif _ Manuelle _  _ </v>
      </c>
      <c r="R529" s="286"/>
    </row>
    <row r="530" spans="1:21" ht="140.25" x14ac:dyDescent="0.2">
      <c r="A530" s="14" t="s">
        <v>20</v>
      </c>
      <c r="B530" s="23" t="s">
        <v>939</v>
      </c>
      <c r="C530" s="23" t="s">
        <v>22</v>
      </c>
      <c r="D530" s="23" t="s">
        <v>1027</v>
      </c>
      <c r="E530" s="23" t="s">
        <v>1244</v>
      </c>
      <c r="F530" s="23" t="s">
        <v>25</v>
      </c>
      <c r="G530" s="23" t="s">
        <v>1245</v>
      </c>
      <c r="H530" s="23" t="s">
        <v>27</v>
      </c>
      <c r="I530" s="23" t="s">
        <v>28</v>
      </c>
      <c r="J530" s="111">
        <v>1</v>
      </c>
      <c r="K530" s="23" t="s">
        <v>1770</v>
      </c>
      <c r="L530" s="194" t="s">
        <v>1769</v>
      </c>
      <c r="M530" s="112" t="s">
        <v>1771</v>
      </c>
      <c r="N530" s="26" t="s">
        <v>1034</v>
      </c>
      <c r="O530" s="36" t="s">
        <v>31</v>
      </c>
      <c r="P530" s="41">
        <v>194</v>
      </c>
      <c r="Q530" s="18" t="str">
        <f t="shared" si="8"/>
        <v>BM VB01 _ A _ Détection d'acides nucléiques avec amplification, après extraction (PCR en temps réel) - Biologie moléculaire _ Quantitatif _ Automatisée _ 1 _ GeneXpert Infinity (Cepheid)</v>
      </c>
      <c r="R530" s="4"/>
    </row>
    <row r="531" spans="1:21" ht="174.75" customHeight="1" x14ac:dyDescent="0.2">
      <c r="A531" s="14" t="s">
        <v>20</v>
      </c>
      <c r="B531" s="23" t="s">
        <v>939</v>
      </c>
      <c r="C531" s="23" t="s">
        <v>22</v>
      </c>
      <c r="D531" s="23" t="s">
        <v>1027</v>
      </c>
      <c r="E531" s="23" t="s">
        <v>1247</v>
      </c>
      <c r="F531" s="23" t="s">
        <v>1170</v>
      </c>
      <c r="G531" s="23" t="s">
        <v>1246</v>
      </c>
      <c r="H531" s="131" t="s">
        <v>27</v>
      </c>
      <c r="I531" s="23" t="s">
        <v>28</v>
      </c>
      <c r="J531" s="111">
        <v>1</v>
      </c>
      <c r="K531" s="23" t="s">
        <v>1032</v>
      </c>
      <c r="L531" s="23" t="s">
        <v>1248</v>
      </c>
      <c r="M531" s="24"/>
      <c r="N531" s="26" t="s">
        <v>1034</v>
      </c>
      <c r="O531" s="36" t="s">
        <v>31</v>
      </c>
      <c r="P531" s="41">
        <v>3108</v>
      </c>
      <c r="Q531" s="18" t="str">
        <f t="shared" si="8"/>
        <v>BM VB01 _ A _ Détection d'acides nucléiques avec ou sans amplification, après extraction et purification (hybridation, PCR) Biologie moléculaire _ Quantitatif _ Automatisée _ 1 _ Altostar (Altona)</v>
      </c>
      <c r="R531" s="4"/>
    </row>
    <row r="532" spans="1:21" ht="174.75" customHeight="1" x14ac:dyDescent="0.2">
      <c r="A532" s="14" t="s">
        <v>20</v>
      </c>
      <c r="B532" s="23" t="s">
        <v>939</v>
      </c>
      <c r="C532" s="23" t="s">
        <v>22</v>
      </c>
      <c r="D532" s="23" t="s">
        <v>1027</v>
      </c>
      <c r="E532" s="194" t="s">
        <v>1765</v>
      </c>
      <c r="F532" s="23" t="s">
        <v>1766</v>
      </c>
      <c r="G532" s="23" t="s">
        <v>1030</v>
      </c>
      <c r="H532" s="131" t="s">
        <v>170</v>
      </c>
      <c r="I532" s="23" t="s">
        <v>28</v>
      </c>
      <c r="J532" s="111">
        <v>3</v>
      </c>
      <c r="K532" s="23" t="s">
        <v>1767</v>
      </c>
      <c r="L532" s="194" t="s">
        <v>1768</v>
      </c>
      <c r="M532" s="274" t="s">
        <v>1771</v>
      </c>
      <c r="N532" s="26" t="s">
        <v>1034</v>
      </c>
      <c r="O532" s="36" t="s">
        <v>31</v>
      </c>
      <c r="P532" s="41">
        <v>11901</v>
      </c>
      <c r="Q532" s="18" t="str">
        <f t="shared" si="8"/>
        <v>BM VB01 _ A _ Détection d'acides nucléiques avec ou sans amplification, après extraction et purification (hybridation, PCR, …) – Biologie moléculaire _ Qualitatif _ Automatisée _ 3 _ Cepheid, GeneXpert et Infinity</v>
      </c>
      <c r="R532" s="4"/>
    </row>
    <row r="533" spans="1:21" ht="174.75" customHeight="1" x14ac:dyDescent="0.2">
      <c r="A533" s="14" t="s">
        <v>20</v>
      </c>
      <c r="B533" s="23" t="s">
        <v>939</v>
      </c>
      <c r="C533" s="23" t="s">
        <v>22</v>
      </c>
      <c r="D533" s="23" t="s">
        <v>1027</v>
      </c>
      <c r="E533" s="23" t="s">
        <v>1249</v>
      </c>
      <c r="F533" s="23" t="s">
        <v>1250</v>
      </c>
      <c r="G533" s="23" t="s">
        <v>1030</v>
      </c>
      <c r="H533" s="131" t="s">
        <v>170</v>
      </c>
      <c r="I533" s="23" t="s">
        <v>28</v>
      </c>
      <c r="J533" s="111">
        <v>1</v>
      </c>
      <c r="K533" s="23" t="s">
        <v>1644</v>
      </c>
      <c r="L533" s="23" t="s">
        <v>1645</v>
      </c>
      <c r="M533" s="19" t="s">
        <v>1495</v>
      </c>
      <c r="N533" s="26" t="s">
        <v>1034</v>
      </c>
      <c r="O533" s="36" t="s">
        <v>31</v>
      </c>
      <c r="P533" s="41">
        <v>81</v>
      </c>
      <c r="Q533" s="18" t="str">
        <f t="shared" si="8"/>
        <v>BM VB01 _ A _ Détection d'acides nucléiques avec ou sans amplification, après extraction et purification (hybridation, PCR, …) – Biologie moléculaire _ Qualitatif _ Automatisée _ 1 _ MGI / CFX96</v>
      </c>
      <c r="R533" s="4"/>
    </row>
    <row r="534" spans="1:21" ht="174.75" customHeight="1" x14ac:dyDescent="0.2">
      <c r="A534" s="14" t="s">
        <v>20</v>
      </c>
      <c r="B534" s="23" t="s">
        <v>939</v>
      </c>
      <c r="C534" s="23" t="s">
        <v>22</v>
      </c>
      <c r="D534" s="23" t="s">
        <v>1027</v>
      </c>
      <c r="E534" s="23" t="s">
        <v>1253</v>
      </c>
      <c r="F534" s="23" t="s">
        <v>25</v>
      </c>
      <c r="G534" s="23" t="s">
        <v>1245</v>
      </c>
      <c r="H534" s="23" t="s">
        <v>27</v>
      </c>
      <c r="I534" s="23" t="s">
        <v>28</v>
      </c>
      <c r="J534" s="111">
        <v>1</v>
      </c>
      <c r="K534" s="23" t="s">
        <v>1032</v>
      </c>
      <c r="L534" s="23" t="s">
        <v>1254</v>
      </c>
      <c r="M534" s="19"/>
      <c r="N534" s="26" t="s">
        <v>1034</v>
      </c>
      <c r="O534" s="36" t="s">
        <v>31</v>
      </c>
      <c r="P534" s="41">
        <v>4211</v>
      </c>
      <c r="Q534" s="18" t="str">
        <f t="shared" si="8"/>
        <v>BM VB01 _ A _ Détection d'acides nucléiques avec amplification, après extraction (PCR en temps réel) - Biologie moléculaire _ Quantitatif _ Automatisée _ 1 _ Altostar (Altona)</v>
      </c>
      <c r="R534" s="4"/>
    </row>
    <row r="535" spans="1:21" ht="145.5" customHeight="1" x14ac:dyDescent="0.2">
      <c r="A535" s="14" t="s">
        <v>20</v>
      </c>
      <c r="B535" s="23" t="s">
        <v>939</v>
      </c>
      <c r="C535" s="23" t="s">
        <v>22</v>
      </c>
      <c r="D535" s="23" t="s">
        <v>1027</v>
      </c>
      <c r="E535" s="23" t="s">
        <v>1255</v>
      </c>
      <c r="F535" s="23" t="s">
        <v>25</v>
      </c>
      <c r="G535" s="23" t="s">
        <v>1245</v>
      </c>
      <c r="H535" s="23" t="s">
        <v>27</v>
      </c>
      <c r="I535" s="23" t="s">
        <v>28</v>
      </c>
      <c r="J535" s="111">
        <v>1</v>
      </c>
      <c r="K535" s="23" t="s">
        <v>1256</v>
      </c>
      <c r="L535" s="23" t="s">
        <v>1257</v>
      </c>
      <c r="M535" s="19"/>
      <c r="N535" s="26" t="s">
        <v>1034</v>
      </c>
      <c r="O535" s="36" t="s">
        <v>31</v>
      </c>
      <c r="P535" s="41">
        <v>1502</v>
      </c>
      <c r="Q535" s="18" t="str">
        <f t="shared" si="8"/>
        <v>BM VB01 _ A _ Détection d'acides nucléiques avec amplification, après extraction (PCR en temps réel) - Biologie moléculaire _ Quantitatif _ Automatisée _ 1 _ Panther (Hologic)</v>
      </c>
      <c r="R535" s="4"/>
    </row>
    <row r="536" spans="1:21" ht="145.5" customHeight="1" x14ac:dyDescent="0.2">
      <c r="A536" s="14" t="s">
        <v>20</v>
      </c>
      <c r="B536" s="23" t="s">
        <v>939</v>
      </c>
      <c r="C536" s="23" t="s">
        <v>22</v>
      </c>
      <c r="D536" s="23" t="s">
        <v>1027</v>
      </c>
      <c r="E536" s="23" t="s">
        <v>1258</v>
      </c>
      <c r="F536" s="23" t="s">
        <v>1259</v>
      </c>
      <c r="G536" s="23" t="s">
        <v>1245</v>
      </c>
      <c r="H536" s="23" t="s">
        <v>170</v>
      </c>
      <c r="I536" s="23" t="s">
        <v>28</v>
      </c>
      <c r="J536" s="111">
        <v>2</v>
      </c>
      <c r="K536" s="23" t="s">
        <v>1260</v>
      </c>
      <c r="L536" s="23" t="s">
        <v>1261</v>
      </c>
      <c r="M536" s="19"/>
      <c r="N536" s="26" t="s">
        <v>1034</v>
      </c>
      <c r="O536" s="23" t="s">
        <v>184</v>
      </c>
      <c r="P536" s="22" t="s">
        <v>1262</v>
      </c>
      <c r="Q536" s="18" t="str">
        <f t="shared" si="8"/>
        <v>BM VB01 _ B _ Détection d'acides nucléiques avec amplification, après extraction (PCR en temps réel) - Biologie moléculaire _ Qualitatif _ Automatisée _ 2 _ Panther Fusion Hologic</v>
      </c>
      <c r="R536" s="4"/>
    </row>
    <row r="537" spans="1:21" ht="140.25" x14ac:dyDescent="0.2">
      <c r="A537" s="14" t="s">
        <v>20</v>
      </c>
      <c r="B537" s="23" t="s">
        <v>939</v>
      </c>
      <c r="C537" s="23" t="s">
        <v>22</v>
      </c>
      <c r="D537" s="23" t="s">
        <v>1027</v>
      </c>
      <c r="E537" s="37" t="s">
        <v>1263</v>
      </c>
      <c r="F537" s="23" t="s">
        <v>25</v>
      </c>
      <c r="G537" s="23" t="s">
        <v>1245</v>
      </c>
      <c r="H537" s="23" t="s">
        <v>27</v>
      </c>
      <c r="I537" s="23" t="s">
        <v>28</v>
      </c>
      <c r="J537" s="111">
        <v>2</v>
      </c>
      <c r="K537" s="23" t="s">
        <v>1260</v>
      </c>
      <c r="L537" s="23" t="s">
        <v>1264</v>
      </c>
      <c r="M537" s="19"/>
      <c r="N537" s="26" t="s">
        <v>1034</v>
      </c>
      <c r="O537" s="23" t="s">
        <v>31</v>
      </c>
      <c r="P537" s="41">
        <v>7003</v>
      </c>
      <c r="Q537" s="18" t="str">
        <f t="shared" si="8"/>
        <v>BM VB01 _ A _ Détection d'acides nucléiques avec amplification, après extraction (PCR en temps réel) - Biologie moléculaire _ Quantitatif _ Automatisée _ 2 _ Panther Fusion Hologic</v>
      </c>
      <c r="R537" s="4"/>
      <c r="S537" s="4"/>
      <c r="T537" s="4"/>
      <c r="U537" s="4"/>
    </row>
    <row r="538" spans="1:21" ht="140.25" x14ac:dyDescent="0.2">
      <c r="A538" s="14" t="s">
        <v>20</v>
      </c>
      <c r="B538" s="23" t="s">
        <v>939</v>
      </c>
      <c r="C538" s="23" t="s">
        <v>22</v>
      </c>
      <c r="D538" s="23" t="s">
        <v>1027</v>
      </c>
      <c r="E538" s="23" t="s">
        <v>1265</v>
      </c>
      <c r="F538" s="23" t="s">
        <v>25</v>
      </c>
      <c r="G538" s="23" t="s">
        <v>1245</v>
      </c>
      <c r="H538" s="23" t="s">
        <v>27</v>
      </c>
      <c r="I538" s="23" t="s">
        <v>28</v>
      </c>
      <c r="J538" s="111">
        <v>1</v>
      </c>
      <c r="K538" s="23" t="s">
        <v>1256</v>
      </c>
      <c r="L538" s="23" t="s">
        <v>1266</v>
      </c>
      <c r="M538" s="19"/>
      <c r="N538" s="26" t="s">
        <v>1034</v>
      </c>
      <c r="O538" s="23" t="s">
        <v>31</v>
      </c>
      <c r="P538" s="41">
        <v>1348</v>
      </c>
      <c r="Q538" s="18" t="str">
        <f t="shared" si="8"/>
        <v>BM VB01 _ A _ Détection d'acides nucléiques avec amplification, après extraction (PCR en temps réel) - Biologie moléculaire _ Quantitatif _ Automatisée _ 1 _ Panther (Hologic)</v>
      </c>
      <c r="R538" s="4"/>
      <c r="S538" s="4"/>
      <c r="T538" s="4"/>
      <c r="U538" s="4"/>
    </row>
    <row r="539" spans="1:21" ht="140.25" x14ac:dyDescent="0.2">
      <c r="A539" s="14" t="s">
        <v>20</v>
      </c>
      <c r="B539" s="23" t="s">
        <v>939</v>
      </c>
      <c r="C539" s="23" t="s">
        <v>22</v>
      </c>
      <c r="D539" s="23" t="s">
        <v>1027</v>
      </c>
      <c r="E539" s="37" t="s">
        <v>1267</v>
      </c>
      <c r="F539" s="23" t="s">
        <v>25</v>
      </c>
      <c r="G539" s="23" t="s">
        <v>1245</v>
      </c>
      <c r="H539" s="23" t="s">
        <v>27</v>
      </c>
      <c r="I539" s="23" t="s">
        <v>28</v>
      </c>
      <c r="J539" s="111">
        <v>1</v>
      </c>
      <c r="K539" s="23" t="s">
        <v>1256</v>
      </c>
      <c r="L539" s="23" t="s">
        <v>1268</v>
      </c>
      <c r="M539" s="19"/>
      <c r="N539" s="26" t="s">
        <v>1034</v>
      </c>
      <c r="O539" s="23" t="s">
        <v>31</v>
      </c>
      <c r="P539" s="41">
        <v>4070</v>
      </c>
      <c r="Q539" s="18" t="str">
        <f t="shared" si="8"/>
        <v>BM VB01 _ A _ Détection d'acides nucléiques avec amplification, après extraction (PCR en temps réel) - Biologie moléculaire _ Quantitatif _ Automatisée _ 1 _ Panther (Hologic)</v>
      </c>
      <c r="R539" s="4"/>
      <c r="S539" s="4"/>
      <c r="T539" s="4"/>
      <c r="U539" s="4"/>
    </row>
    <row r="540" spans="1:21" ht="140.25" x14ac:dyDescent="0.2">
      <c r="A540" s="14" t="s">
        <v>20</v>
      </c>
      <c r="B540" s="23" t="s">
        <v>939</v>
      </c>
      <c r="C540" s="23" t="s">
        <v>22</v>
      </c>
      <c r="D540" s="23" t="s">
        <v>1027</v>
      </c>
      <c r="E540" s="23" t="s">
        <v>1269</v>
      </c>
      <c r="F540" s="23" t="s">
        <v>1270</v>
      </c>
      <c r="G540" s="23" t="s">
        <v>1245</v>
      </c>
      <c r="H540" s="23" t="s">
        <v>170</v>
      </c>
      <c r="I540" s="23" t="s">
        <v>28</v>
      </c>
      <c r="J540" s="111">
        <v>1</v>
      </c>
      <c r="K540" s="23" t="s">
        <v>1032</v>
      </c>
      <c r="L540" s="23" t="s">
        <v>1271</v>
      </c>
      <c r="M540" s="19"/>
      <c r="N540" s="26" t="s">
        <v>1034</v>
      </c>
      <c r="O540" s="23" t="s">
        <v>31</v>
      </c>
      <c r="P540" s="41">
        <v>534</v>
      </c>
      <c r="Q540" s="18" t="str">
        <f t="shared" si="8"/>
        <v>BM VB01 _ A _ Détection d'acides nucléiques avec amplification, après extraction (PCR en temps réel) - Biologie moléculaire _ Qualitatif _ Automatisée _ 1 _ Altostar (Altona)</v>
      </c>
      <c r="R540" s="4"/>
      <c r="S540" s="4"/>
      <c r="T540" s="4"/>
      <c r="U540" s="4"/>
    </row>
    <row r="541" spans="1:21" ht="140.25" x14ac:dyDescent="0.2">
      <c r="A541" s="14" t="s">
        <v>20</v>
      </c>
      <c r="B541" s="23" t="s">
        <v>939</v>
      </c>
      <c r="C541" s="23" t="s">
        <v>22</v>
      </c>
      <c r="D541" s="23" t="s">
        <v>1027</v>
      </c>
      <c r="E541" s="23" t="s">
        <v>1272</v>
      </c>
      <c r="F541" s="23" t="s">
        <v>1273</v>
      </c>
      <c r="G541" s="23" t="s">
        <v>1245</v>
      </c>
      <c r="H541" s="23" t="s">
        <v>170</v>
      </c>
      <c r="I541" s="23" t="s">
        <v>28</v>
      </c>
      <c r="J541" s="111">
        <v>1</v>
      </c>
      <c r="K541" s="23" t="s">
        <v>1032</v>
      </c>
      <c r="L541" s="23" t="s">
        <v>1274</v>
      </c>
      <c r="M541" s="19"/>
      <c r="N541" s="26" t="s">
        <v>1034</v>
      </c>
      <c r="O541" s="23" t="s">
        <v>31</v>
      </c>
      <c r="P541" s="41">
        <v>1714</v>
      </c>
      <c r="Q541" s="18" t="str">
        <f t="shared" si="8"/>
        <v>BM VB01 _ A _ Détection d'acides nucléiques avec amplification, après extraction (PCR en temps réel) - Biologie moléculaire _ Qualitatif _ Automatisée _ 1 _ Altostar (Altona)</v>
      </c>
      <c r="R541" s="4"/>
      <c r="S541" s="4"/>
      <c r="T541" s="4"/>
      <c r="U541" s="4"/>
    </row>
    <row r="542" spans="1:21" ht="140.25" x14ac:dyDescent="0.2">
      <c r="A542" s="14" t="s">
        <v>20</v>
      </c>
      <c r="B542" s="23" t="s">
        <v>939</v>
      </c>
      <c r="C542" s="23" t="s">
        <v>22</v>
      </c>
      <c r="D542" s="23" t="s">
        <v>1027</v>
      </c>
      <c r="E542" s="23" t="s">
        <v>1275</v>
      </c>
      <c r="F542" s="23" t="s">
        <v>1273</v>
      </c>
      <c r="G542" s="23" t="s">
        <v>1245</v>
      </c>
      <c r="H542" s="23" t="s">
        <v>170</v>
      </c>
      <c r="I542" s="23" t="s">
        <v>28</v>
      </c>
      <c r="J542" s="111">
        <v>1</v>
      </c>
      <c r="K542" s="23" t="s">
        <v>1032</v>
      </c>
      <c r="L542" s="23" t="s">
        <v>1276</v>
      </c>
      <c r="M542" s="19"/>
      <c r="N542" s="26" t="s">
        <v>1034</v>
      </c>
      <c r="O542" s="36" t="s">
        <v>31</v>
      </c>
      <c r="P542" s="22" t="s">
        <v>1277</v>
      </c>
      <c r="Q542" s="18" t="str">
        <f t="shared" si="8"/>
        <v>BM VB01 _ A _ Détection d'acides nucléiques avec amplification, après extraction (PCR en temps réel) - Biologie moléculaire _ Qualitatif _ Automatisée _ 1 _ Altostar (Altona)</v>
      </c>
      <c r="R542" s="4"/>
      <c r="S542" s="4"/>
      <c r="T542" s="4"/>
      <c r="U542" s="4"/>
    </row>
    <row r="543" spans="1:21" ht="140.25" x14ac:dyDescent="0.2">
      <c r="A543" s="14" t="s">
        <v>20</v>
      </c>
      <c r="B543" s="23" t="s">
        <v>939</v>
      </c>
      <c r="C543" s="23" t="s">
        <v>22</v>
      </c>
      <c r="D543" s="23" t="s">
        <v>1027</v>
      </c>
      <c r="E543" s="23" t="s">
        <v>1278</v>
      </c>
      <c r="F543" s="23" t="s">
        <v>1279</v>
      </c>
      <c r="G543" s="23" t="s">
        <v>1245</v>
      </c>
      <c r="H543" s="23" t="s">
        <v>170</v>
      </c>
      <c r="I543" s="23" t="s">
        <v>28</v>
      </c>
      <c r="J543" s="111">
        <v>1</v>
      </c>
      <c r="K543" s="23" t="s">
        <v>1032</v>
      </c>
      <c r="L543" s="23" t="s">
        <v>1280</v>
      </c>
      <c r="M543" s="19"/>
      <c r="N543" s="26" t="s">
        <v>1034</v>
      </c>
      <c r="O543" s="36" t="s">
        <v>31</v>
      </c>
      <c r="P543" s="41">
        <v>64</v>
      </c>
      <c r="Q543" s="18" t="str">
        <f t="shared" si="8"/>
        <v>BM VB01 _ A _ Détection d'acides nucléiques avec amplification, après extraction (PCR en temps réel) - Biologie moléculaire _ Qualitatif _ Automatisée _ 1 _ Altostar (Altona)</v>
      </c>
      <c r="R543" s="4"/>
      <c r="S543" s="4"/>
      <c r="T543" s="4"/>
      <c r="U543" s="4"/>
    </row>
    <row r="544" spans="1:21" ht="114.75" x14ac:dyDescent="0.2">
      <c r="A544" s="14" t="s">
        <v>20</v>
      </c>
      <c r="B544" s="23" t="s">
        <v>939</v>
      </c>
      <c r="C544" s="23" t="s">
        <v>22</v>
      </c>
      <c r="D544" s="23" t="s">
        <v>1027</v>
      </c>
      <c r="E544" s="37" t="s">
        <v>1281</v>
      </c>
      <c r="F544" s="23" t="s">
        <v>25</v>
      </c>
      <c r="G544" s="23" t="s">
        <v>1282</v>
      </c>
      <c r="H544" s="23" t="s">
        <v>170</v>
      </c>
      <c r="I544" s="23" t="s">
        <v>28</v>
      </c>
      <c r="J544" s="111">
        <v>1</v>
      </c>
      <c r="K544" s="23" t="s">
        <v>1283</v>
      </c>
      <c r="L544" s="23" t="s">
        <v>1789</v>
      </c>
      <c r="M544" s="19"/>
      <c r="N544" s="26" t="s">
        <v>1034</v>
      </c>
      <c r="O544" s="36" t="s">
        <v>184</v>
      </c>
      <c r="P544" s="41">
        <v>674</v>
      </c>
      <c r="Q544" s="18" t="str">
        <f t="shared" si="8"/>
        <v>BM VB01 _ B _ Cartographie d'acides nucléiques (séquençage, amplification, hybridation, …) – Biologie moléculaire _ Qualitatif _ Automatisée _ 1 _ CEQ 8000 (Beckman)</v>
      </c>
      <c r="R544" s="4"/>
      <c r="S544" s="4"/>
      <c r="T544" s="4"/>
      <c r="U544" s="4"/>
    </row>
    <row r="545" spans="1:21" ht="140.25" x14ac:dyDescent="0.2">
      <c r="A545" s="14" t="s">
        <v>20</v>
      </c>
      <c r="B545" s="23" t="s">
        <v>939</v>
      </c>
      <c r="C545" s="23" t="s">
        <v>22</v>
      </c>
      <c r="D545" s="23" t="s">
        <v>1027</v>
      </c>
      <c r="E545" s="23" t="s">
        <v>1284</v>
      </c>
      <c r="F545" s="23" t="s">
        <v>25</v>
      </c>
      <c r="G545" s="23" t="s">
        <v>1245</v>
      </c>
      <c r="H545" s="23" t="s">
        <v>27</v>
      </c>
      <c r="I545" s="23" t="s">
        <v>28</v>
      </c>
      <c r="J545" s="111">
        <v>1</v>
      </c>
      <c r="K545" s="194" t="s">
        <v>1772</v>
      </c>
      <c r="L545" s="194" t="s">
        <v>1773</v>
      </c>
      <c r="M545" s="112" t="s">
        <v>1771</v>
      </c>
      <c r="N545" s="26" t="s">
        <v>1034</v>
      </c>
      <c r="O545" s="36" t="s">
        <v>31</v>
      </c>
      <c r="P545" s="41">
        <v>64</v>
      </c>
      <c r="Q545" s="18" t="str">
        <f t="shared" si="8"/>
        <v>BM VB01 _ A _ Détection d'acides nucléiques avec amplification, après extraction (PCR en temps réel) - Biologie moléculaire _ Quantitatif _ Automatisée _ 1 _ GeneXpert Infinity (Cepheid)</v>
      </c>
      <c r="R545" s="4"/>
      <c r="S545" s="4"/>
      <c r="T545" s="4"/>
      <c r="U545" s="4"/>
    </row>
    <row r="546" spans="1:21" ht="153" x14ac:dyDescent="0.2">
      <c r="A546" s="14" t="s">
        <v>20</v>
      </c>
      <c r="B546" s="23" t="s">
        <v>939</v>
      </c>
      <c r="C546" s="23" t="s">
        <v>22</v>
      </c>
      <c r="D546" s="23" t="s">
        <v>1027</v>
      </c>
      <c r="E546" s="23" t="s">
        <v>1285</v>
      </c>
      <c r="F546" s="23" t="s">
        <v>25</v>
      </c>
      <c r="G546" s="23" t="s">
        <v>1286</v>
      </c>
      <c r="H546" s="23" t="s">
        <v>27</v>
      </c>
      <c r="I546" s="23" t="s">
        <v>28</v>
      </c>
      <c r="J546" s="111">
        <v>1</v>
      </c>
      <c r="K546" s="194" t="s">
        <v>1772</v>
      </c>
      <c r="L546" s="194" t="s">
        <v>1774</v>
      </c>
      <c r="M546" s="274" t="s">
        <v>1771</v>
      </c>
      <c r="N546" s="19" t="s">
        <v>1034</v>
      </c>
      <c r="O546" s="36" t="s">
        <v>31</v>
      </c>
      <c r="P546" s="41">
        <v>70</v>
      </c>
      <c r="Q546" s="18" t="str">
        <f t="shared" si="8"/>
        <v>BM VB01 _ A _ Détection d'acides nucléiques avec amplification, après extraction et purification (hybridation, PCR, …) – Biologie moléculaire _ Quantitatif _ Automatisée _ 1 _ GeneXpert Infinity (Cepheid)</v>
      </c>
      <c r="R546" s="4"/>
      <c r="S546" s="4"/>
      <c r="T546" s="4"/>
      <c r="U546" s="4"/>
    </row>
    <row r="547" spans="1:21" ht="153" x14ac:dyDescent="0.2">
      <c r="A547" s="14" t="s">
        <v>20</v>
      </c>
      <c r="B547" s="97" t="s">
        <v>939</v>
      </c>
      <c r="C547" s="97" t="s">
        <v>22</v>
      </c>
      <c r="D547" s="97" t="s">
        <v>1027</v>
      </c>
      <c r="E547" s="97" t="s">
        <v>1287</v>
      </c>
      <c r="F547" s="97" t="s">
        <v>25</v>
      </c>
      <c r="G547" s="97" t="s">
        <v>1286</v>
      </c>
      <c r="H547" s="97" t="s">
        <v>27</v>
      </c>
      <c r="I547" s="97" t="s">
        <v>28</v>
      </c>
      <c r="J547" s="132">
        <v>1</v>
      </c>
      <c r="K547" s="133" t="s">
        <v>1288</v>
      </c>
      <c r="L547" s="97" t="s">
        <v>1289</v>
      </c>
      <c r="M547" s="32"/>
      <c r="N547" s="92" t="s">
        <v>1034</v>
      </c>
      <c r="O547" s="134" t="s">
        <v>31</v>
      </c>
      <c r="P547" s="108">
        <v>53</v>
      </c>
      <c r="Q547" s="18" t="str">
        <f t="shared" si="8"/>
        <v>BM VB01 _ A _ Détection d'acides nucléiques avec amplification, après extraction et purification (hybridation, PCR, …) – Biologie moléculaire _ Quantitatif _ Automatisée _ 1 _ CFX96 Deep Well™ de Bio-Rad (n° série : 790BR02361) et EZ1® Advanced XL de Qiagen (n° série : L151A1476)</v>
      </c>
      <c r="R547" s="4"/>
      <c r="S547" s="4"/>
      <c r="T547" s="4"/>
      <c r="U547" s="4"/>
    </row>
    <row r="548" spans="1:21" ht="153" x14ac:dyDescent="0.2">
      <c r="A548" s="22" t="s">
        <v>20</v>
      </c>
      <c r="B548" s="133" t="s">
        <v>939</v>
      </c>
      <c r="C548" s="133" t="s">
        <v>22</v>
      </c>
      <c r="D548" s="133" t="s">
        <v>1027</v>
      </c>
      <c r="E548" s="133" t="s">
        <v>1290</v>
      </c>
      <c r="F548" s="133" t="s">
        <v>123</v>
      </c>
      <c r="G548" s="133" t="s">
        <v>1286</v>
      </c>
      <c r="H548" s="133" t="s">
        <v>27</v>
      </c>
      <c r="I548" s="133" t="s">
        <v>28</v>
      </c>
      <c r="J548" s="132">
        <v>1</v>
      </c>
      <c r="K548" s="15" t="s">
        <v>1032</v>
      </c>
      <c r="L548" s="133" t="s">
        <v>1291</v>
      </c>
      <c r="M548" s="22"/>
      <c r="N548" s="109" t="s">
        <v>1034</v>
      </c>
      <c r="O548" s="132" t="s">
        <v>31</v>
      </c>
      <c r="P548" s="108">
        <v>484</v>
      </c>
      <c r="Q548" s="18" t="str">
        <f t="shared" si="8"/>
        <v>BM VB01 _ A _ Détection d'acides nucléiques avec amplification, après extraction et purification (hybridation, PCR, …) – Biologie moléculaire _ Quantitatif _ Automatisée _ 1 _ Altostar (Altona)</v>
      </c>
      <c r="R548" s="4"/>
      <c r="S548" s="4"/>
      <c r="T548" s="4"/>
      <c r="U548" s="4"/>
    </row>
    <row r="549" spans="1:21" ht="140.25" x14ac:dyDescent="0.2">
      <c r="A549" s="14" t="s">
        <v>20</v>
      </c>
      <c r="B549" s="23" t="s">
        <v>939</v>
      </c>
      <c r="C549" s="23" t="s">
        <v>22</v>
      </c>
      <c r="D549" s="23" t="s">
        <v>1027</v>
      </c>
      <c r="E549" s="23" t="s">
        <v>1292</v>
      </c>
      <c r="F549" s="194" t="s">
        <v>1775</v>
      </c>
      <c r="G549" s="23" t="s">
        <v>1293</v>
      </c>
      <c r="H549" s="131" t="s">
        <v>170</v>
      </c>
      <c r="I549" s="23" t="s">
        <v>28</v>
      </c>
      <c r="J549" s="111">
        <v>1</v>
      </c>
      <c r="K549" s="110" t="s">
        <v>1763</v>
      </c>
      <c r="L549" s="194" t="s">
        <v>1764</v>
      </c>
      <c r="M549" s="274" t="s">
        <v>1771</v>
      </c>
      <c r="N549" s="26" t="s">
        <v>1034</v>
      </c>
      <c r="O549" s="36" t="s">
        <v>31</v>
      </c>
      <c r="P549" s="41">
        <v>1621</v>
      </c>
      <c r="Q549" s="18" t="str">
        <f t="shared" si="8"/>
        <v>BM VB01 _ A _ Détection d'acides nucléiques avec ou sans amplification, après extraction et purification (hybridation, PCR) Biologie moléculaire  _ Qualitatif _ Automatisée _ 1 _ Infinity (Cepheid)</v>
      </c>
      <c r="R549" s="4"/>
      <c r="S549" s="4"/>
      <c r="T549" s="4"/>
      <c r="U549" s="4"/>
    </row>
    <row r="550" spans="1:21" ht="140.25" x14ac:dyDescent="0.2">
      <c r="A550" s="22" t="s">
        <v>20</v>
      </c>
      <c r="B550" s="15" t="s">
        <v>939</v>
      </c>
      <c r="C550" s="15" t="s">
        <v>22</v>
      </c>
      <c r="D550" s="15" t="s">
        <v>1027</v>
      </c>
      <c r="E550" s="15" t="s">
        <v>1640</v>
      </c>
      <c r="F550" s="15" t="s">
        <v>788</v>
      </c>
      <c r="G550" s="15" t="s">
        <v>1293</v>
      </c>
      <c r="H550" s="245" t="s">
        <v>27</v>
      </c>
      <c r="I550" s="15" t="s">
        <v>28</v>
      </c>
      <c r="J550" s="111">
        <v>1</v>
      </c>
      <c r="K550" s="72" t="s">
        <v>949</v>
      </c>
      <c r="L550" s="15" t="s">
        <v>1641</v>
      </c>
      <c r="M550" s="19"/>
      <c r="N550" s="26" t="s">
        <v>1034</v>
      </c>
      <c r="O550" s="36" t="s">
        <v>31</v>
      </c>
      <c r="P550" s="41">
        <v>81</v>
      </c>
      <c r="Q550" s="18" t="str">
        <f t="shared" si="8"/>
        <v>BM VB01 _ A _ Détection d'acides nucléiques avec ou sans amplification, après extraction et purification (hybridation, PCR) Biologie moléculaire  _ Quantitatif _ Automatisée _ 1 _ EZ1 (Qiagen)+ CFX96 (Biorad)</v>
      </c>
      <c r="R550" s="4"/>
      <c r="S550" s="4"/>
      <c r="T550" s="4"/>
      <c r="U550" s="4"/>
    </row>
    <row r="551" spans="1:21" ht="140.25" x14ac:dyDescent="0.2">
      <c r="A551" s="22" t="s">
        <v>20</v>
      </c>
      <c r="B551" s="15" t="s">
        <v>939</v>
      </c>
      <c r="C551" s="15" t="s">
        <v>22</v>
      </c>
      <c r="D551" s="15" t="s">
        <v>1027</v>
      </c>
      <c r="E551" s="15" t="s">
        <v>1294</v>
      </c>
      <c r="F551" s="15" t="s">
        <v>1295</v>
      </c>
      <c r="G551" s="15" t="s">
        <v>1293</v>
      </c>
      <c r="H551" s="245" t="s">
        <v>170</v>
      </c>
      <c r="I551" s="15" t="s">
        <v>28</v>
      </c>
      <c r="J551" s="111">
        <v>1</v>
      </c>
      <c r="K551" s="72" t="s">
        <v>949</v>
      </c>
      <c r="L551" s="15" t="s">
        <v>1296</v>
      </c>
      <c r="M551" s="22"/>
      <c r="N551" s="135" t="s">
        <v>1034</v>
      </c>
      <c r="O551" s="111" t="s">
        <v>31</v>
      </c>
      <c r="P551" s="41">
        <v>38</v>
      </c>
      <c r="Q551" s="18" t="str">
        <f t="shared" si="8"/>
        <v>BM VB01 _ A _ Détection d'acides nucléiques avec ou sans amplification, après extraction et purification (hybridation, PCR) Biologie moléculaire  _ Qualitatif _ Automatisée _ 1 _ EZ1 (Qiagen)+ CFX96 (Biorad)</v>
      </c>
      <c r="R551" s="4"/>
      <c r="S551" s="4"/>
      <c r="T551" s="4"/>
      <c r="U551" s="4"/>
    </row>
    <row r="552" spans="1:21" ht="51" x14ac:dyDescent="0.2">
      <c r="A552" s="14" t="s">
        <v>20</v>
      </c>
      <c r="B552" s="156" t="s">
        <v>939</v>
      </c>
      <c r="C552" s="158" t="s">
        <v>22</v>
      </c>
      <c r="D552" s="158" t="s">
        <v>213</v>
      </c>
      <c r="E552" s="157" t="s">
        <v>1403</v>
      </c>
      <c r="F552" s="188" t="s">
        <v>1404</v>
      </c>
      <c r="G552" s="188" t="s">
        <v>1405</v>
      </c>
      <c r="H552" s="188" t="s">
        <v>517</v>
      </c>
      <c r="I552" s="188" t="s">
        <v>1114</v>
      </c>
      <c r="J552" s="189">
        <v>1</v>
      </c>
      <c r="K552" s="188" t="s">
        <v>1406</v>
      </c>
      <c r="L552" s="188" t="s">
        <v>1407</v>
      </c>
      <c r="M552" s="192" t="s">
        <v>1491</v>
      </c>
      <c r="N552" s="190" t="s">
        <v>1508</v>
      </c>
      <c r="O552" s="191" t="s">
        <v>31</v>
      </c>
      <c r="P552" s="379">
        <v>8860</v>
      </c>
      <c r="Q552" s="18" t="str">
        <f t="shared" si="8"/>
        <v>BM MG05 _ A _ Extraction, Détection d'acides nucléiques _ qualitatif _ automatisée _ 1 _ ePlex Genemark</v>
      </c>
      <c r="R552" s="4"/>
      <c r="S552" s="4"/>
      <c r="T552" s="4"/>
      <c r="U552" s="4"/>
    </row>
    <row r="553" spans="1:21" ht="51" x14ac:dyDescent="0.2">
      <c r="A553" s="14" t="s">
        <v>1297</v>
      </c>
      <c r="B553" s="14" t="s">
        <v>21</v>
      </c>
      <c r="C553" s="14" t="s">
        <v>22</v>
      </c>
      <c r="D553" s="15" t="s">
        <v>23</v>
      </c>
      <c r="E553" s="197" t="s">
        <v>24</v>
      </c>
      <c r="F553" s="197" t="s">
        <v>25</v>
      </c>
      <c r="G553" s="197" t="s">
        <v>26</v>
      </c>
      <c r="H553" s="197" t="s">
        <v>27</v>
      </c>
      <c r="I553" s="197" t="s">
        <v>28</v>
      </c>
      <c r="J553" s="198">
        <v>1</v>
      </c>
      <c r="K553" s="247" t="s">
        <v>1636</v>
      </c>
      <c r="L553" s="202" t="s">
        <v>29</v>
      </c>
      <c r="M553" s="276" t="s">
        <v>1637</v>
      </c>
      <c r="N553" s="197" t="s">
        <v>30</v>
      </c>
      <c r="O553" s="198" t="s">
        <v>31</v>
      </c>
      <c r="P553" s="49">
        <v>475</v>
      </c>
      <c r="Q553" s="18" t="str">
        <f t="shared" si="8"/>
        <v>BM BB01 _ A _ Cinétique enzymatique standardisée IFCC _ Quantitatif _ Automatisée _ 1 _ Cobas Pure</v>
      </c>
      <c r="R553" s="4"/>
      <c r="S553" s="4"/>
      <c r="T553" s="4"/>
      <c r="U553" s="4"/>
    </row>
    <row r="554" spans="1:21" ht="51" x14ac:dyDescent="0.2">
      <c r="A554" s="14" t="s">
        <v>1297</v>
      </c>
      <c r="B554" s="19" t="s">
        <v>21</v>
      </c>
      <c r="C554" s="14" t="s">
        <v>22</v>
      </c>
      <c r="D554" s="15" t="s">
        <v>23</v>
      </c>
      <c r="E554" s="200" t="s">
        <v>32</v>
      </c>
      <c r="F554" s="197" t="s">
        <v>25</v>
      </c>
      <c r="G554" s="197" t="s">
        <v>33</v>
      </c>
      <c r="H554" s="197" t="s">
        <v>27</v>
      </c>
      <c r="I554" s="197" t="s">
        <v>28</v>
      </c>
      <c r="J554" s="198">
        <v>1</v>
      </c>
      <c r="K554" s="247" t="s">
        <v>1636</v>
      </c>
      <c r="L554" s="202" t="s">
        <v>34</v>
      </c>
      <c r="M554" s="276" t="s">
        <v>1637</v>
      </c>
      <c r="N554" s="197" t="s">
        <v>30</v>
      </c>
      <c r="O554" s="198" t="s">
        <v>31</v>
      </c>
      <c r="P554" s="49">
        <v>6484</v>
      </c>
      <c r="Q554" s="18" t="str">
        <f t="shared" si="8"/>
        <v>BM BB01 _ A _ Potentiométrie indirecte _ Quantitatif _ Automatisée _ 1 _ Cobas Pure</v>
      </c>
      <c r="R554" s="4"/>
      <c r="S554" s="4"/>
      <c r="T554" s="4"/>
      <c r="U554" s="4"/>
    </row>
    <row r="555" spans="1:21" ht="51" x14ac:dyDescent="0.2">
      <c r="A555" s="14" t="s">
        <v>1297</v>
      </c>
      <c r="B555" s="19" t="s">
        <v>21</v>
      </c>
      <c r="C555" s="14" t="s">
        <v>22</v>
      </c>
      <c r="D555" s="15" t="s">
        <v>23</v>
      </c>
      <c r="E555" s="200" t="s">
        <v>35</v>
      </c>
      <c r="F555" s="197" t="s">
        <v>25</v>
      </c>
      <c r="G555" s="197" t="s">
        <v>36</v>
      </c>
      <c r="H555" s="197" t="s">
        <v>27</v>
      </c>
      <c r="I555" s="197" t="s">
        <v>28</v>
      </c>
      <c r="J555" s="198">
        <v>1</v>
      </c>
      <c r="K555" s="247" t="s">
        <v>1636</v>
      </c>
      <c r="L555" s="202" t="s">
        <v>37</v>
      </c>
      <c r="M555" s="276" t="s">
        <v>1637</v>
      </c>
      <c r="N555" s="197" t="s">
        <v>30</v>
      </c>
      <c r="O555" s="198" t="s">
        <v>31</v>
      </c>
      <c r="P555" s="49">
        <v>1906</v>
      </c>
      <c r="Q555" s="18" t="str">
        <f t="shared" si="8"/>
        <v>BM BB01 _ A _ Electrochimiluminescence _ Quantitatif _ Automatisée _ 1 _ Cobas Pure</v>
      </c>
      <c r="R555" s="4"/>
      <c r="S555" s="4"/>
      <c r="T555" s="4"/>
      <c r="U555" s="4"/>
    </row>
    <row r="556" spans="1:21" ht="51" x14ac:dyDescent="0.2">
      <c r="A556" s="14" t="s">
        <v>1297</v>
      </c>
      <c r="B556" s="19" t="s">
        <v>21</v>
      </c>
      <c r="C556" s="19" t="s">
        <v>22</v>
      </c>
      <c r="D556" s="15" t="s">
        <v>23</v>
      </c>
      <c r="E556" s="197" t="s">
        <v>38</v>
      </c>
      <c r="F556" s="197" t="s">
        <v>25</v>
      </c>
      <c r="G556" s="201" t="s">
        <v>39</v>
      </c>
      <c r="H556" s="201" t="s">
        <v>27</v>
      </c>
      <c r="I556" s="201" t="s">
        <v>28</v>
      </c>
      <c r="J556" s="198">
        <v>1</v>
      </c>
      <c r="K556" s="247" t="s">
        <v>1636</v>
      </c>
      <c r="L556" s="202" t="s">
        <v>40</v>
      </c>
      <c r="M556" s="276" t="s">
        <v>1637</v>
      </c>
      <c r="N556" s="197" t="s">
        <v>30</v>
      </c>
      <c r="O556" s="198" t="s">
        <v>31</v>
      </c>
      <c r="P556" s="49">
        <v>2831</v>
      </c>
      <c r="Q556" s="18" t="str">
        <f t="shared" si="8"/>
        <v>BM BB01 _ A _ Colorimétrie enzymatique  _ Quantitatif _ Automatisée _ 1 _ Cobas Pure</v>
      </c>
      <c r="R556" s="4"/>
      <c r="S556" s="4"/>
      <c r="T556" s="4"/>
      <c r="U556" s="4"/>
    </row>
    <row r="557" spans="1:21" ht="51" x14ac:dyDescent="0.2">
      <c r="A557" s="258" t="s">
        <v>1297</v>
      </c>
      <c r="B557" s="258" t="s">
        <v>21</v>
      </c>
      <c r="C557" s="258" t="s">
        <v>22</v>
      </c>
      <c r="D557" s="259" t="s">
        <v>23</v>
      </c>
      <c r="E557" s="260" t="s">
        <v>41</v>
      </c>
      <c r="F557" s="260" t="s">
        <v>25</v>
      </c>
      <c r="G557" s="260" t="s">
        <v>42</v>
      </c>
      <c r="H557" s="260" t="s">
        <v>27</v>
      </c>
      <c r="I557" s="260" t="s">
        <v>28</v>
      </c>
      <c r="J557" s="261">
        <v>1</v>
      </c>
      <c r="K557" s="260" t="s">
        <v>1298</v>
      </c>
      <c r="L557" s="260" t="s">
        <v>43</v>
      </c>
      <c r="M557" s="272" t="s">
        <v>1638</v>
      </c>
      <c r="N557" s="260" t="s">
        <v>30</v>
      </c>
      <c r="O557" s="261" t="s">
        <v>31</v>
      </c>
      <c r="P557" s="262">
        <v>943</v>
      </c>
      <c r="Q557" s="18" t="str">
        <f t="shared" si="8"/>
        <v>BM BB01 _ A _ Colorimétrie  _ Quantitatif _ Automatisée _ 1 _ Cobas Roche 6000</v>
      </c>
      <c r="R557" s="4"/>
      <c r="S557" s="4"/>
      <c r="T557" s="4"/>
      <c r="U557" s="4"/>
    </row>
    <row r="558" spans="1:21" ht="51" x14ac:dyDescent="0.2">
      <c r="A558" s="14" t="s">
        <v>1297</v>
      </c>
      <c r="B558" s="19" t="s">
        <v>21</v>
      </c>
      <c r="C558" s="19" t="s">
        <v>22</v>
      </c>
      <c r="D558" s="15" t="s">
        <v>23</v>
      </c>
      <c r="E558" s="197" t="s">
        <v>44</v>
      </c>
      <c r="F558" s="197" t="s">
        <v>25</v>
      </c>
      <c r="G558" s="201" t="s">
        <v>33</v>
      </c>
      <c r="H558" s="201" t="s">
        <v>27</v>
      </c>
      <c r="I558" s="201" t="s">
        <v>28</v>
      </c>
      <c r="J558" s="198">
        <v>1</v>
      </c>
      <c r="K558" s="247" t="s">
        <v>1636</v>
      </c>
      <c r="L558" s="202" t="s">
        <v>45</v>
      </c>
      <c r="M558" s="276" t="s">
        <v>1637</v>
      </c>
      <c r="N558" s="197" t="s">
        <v>30</v>
      </c>
      <c r="O558" s="198" t="s">
        <v>31</v>
      </c>
      <c r="P558" s="49">
        <v>6431</v>
      </c>
      <c r="Q558" s="18" t="str">
        <f t="shared" si="8"/>
        <v>BM BB01 _ A _ Potentiométrie indirecte _ Quantitatif _ Automatisée _ 1 _ Cobas Pure</v>
      </c>
      <c r="R558" s="4"/>
      <c r="S558" s="4"/>
      <c r="T558" s="4"/>
      <c r="U558" s="4"/>
    </row>
    <row r="559" spans="1:21" ht="51" x14ac:dyDescent="0.2">
      <c r="A559" s="14" t="s">
        <v>1297</v>
      </c>
      <c r="B559" s="19" t="s">
        <v>21</v>
      </c>
      <c r="C559" s="19" t="s">
        <v>22</v>
      </c>
      <c r="D559" s="15" t="s">
        <v>23</v>
      </c>
      <c r="E559" s="197" t="s">
        <v>46</v>
      </c>
      <c r="F559" s="197" t="s">
        <v>25</v>
      </c>
      <c r="G559" s="201" t="s">
        <v>47</v>
      </c>
      <c r="H559" s="201" t="s">
        <v>27</v>
      </c>
      <c r="I559" s="201" t="s">
        <v>28</v>
      </c>
      <c r="J559" s="198">
        <v>1</v>
      </c>
      <c r="K559" s="247" t="s">
        <v>1636</v>
      </c>
      <c r="L559" s="202" t="s">
        <v>48</v>
      </c>
      <c r="M559" s="276" t="s">
        <v>1637</v>
      </c>
      <c r="N559" s="197" t="s">
        <v>30</v>
      </c>
      <c r="O559" s="198" t="s">
        <v>31</v>
      </c>
      <c r="P559" s="49">
        <v>736</v>
      </c>
      <c r="Q559" s="18" t="str">
        <f t="shared" si="8"/>
        <v>BM BB01 _ A _ Colorimétrie enzymatique _ Quantitatif _ Automatisée _ 1 _ Cobas Pure</v>
      </c>
      <c r="R559" s="4"/>
      <c r="S559" s="4"/>
      <c r="T559" s="4"/>
      <c r="U559" s="4"/>
    </row>
    <row r="560" spans="1:21" ht="51" x14ac:dyDescent="0.2">
      <c r="A560" s="14" t="s">
        <v>1297</v>
      </c>
      <c r="B560" s="19" t="s">
        <v>21</v>
      </c>
      <c r="C560" s="19" t="s">
        <v>22</v>
      </c>
      <c r="D560" s="15" t="s">
        <v>23</v>
      </c>
      <c r="E560" s="197" t="s">
        <v>49</v>
      </c>
      <c r="F560" s="197" t="s">
        <v>25</v>
      </c>
      <c r="G560" s="201" t="s">
        <v>50</v>
      </c>
      <c r="H560" s="201" t="s">
        <v>27</v>
      </c>
      <c r="I560" s="201" t="s">
        <v>28</v>
      </c>
      <c r="J560" s="198">
        <v>1</v>
      </c>
      <c r="K560" s="247" t="s">
        <v>1636</v>
      </c>
      <c r="L560" s="202" t="s">
        <v>51</v>
      </c>
      <c r="M560" s="276" t="s">
        <v>1637</v>
      </c>
      <c r="N560" s="197" t="s">
        <v>30</v>
      </c>
      <c r="O560" s="198" t="s">
        <v>31</v>
      </c>
      <c r="P560" s="49">
        <v>1645</v>
      </c>
      <c r="Q560" s="18" t="str">
        <f t="shared" si="8"/>
        <v>BM BB01 _ A _ Colorimétrie _ Quantitatif _ Automatisée _ 1 _ Cobas Pure</v>
      </c>
      <c r="R560" s="4"/>
      <c r="S560" s="4"/>
      <c r="T560" s="4"/>
      <c r="U560" s="4"/>
    </row>
    <row r="561" spans="1:21" ht="51" x14ac:dyDescent="0.2">
      <c r="A561" s="14" t="s">
        <v>1297</v>
      </c>
      <c r="B561" s="19" t="s">
        <v>21</v>
      </c>
      <c r="C561" s="19" t="s">
        <v>22</v>
      </c>
      <c r="D561" s="15" t="s">
        <v>23</v>
      </c>
      <c r="E561" s="197" t="s">
        <v>52</v>
      </c>
      <c r="F561" s="197" t="s">
        <v>25</v>
      </c>
      <c r="G561" s="201" t="s">
        <v>53</v>
      </c>
      <c r="H561" s="201" t="s">
        <v>27</v>
      </c>
      <c r="I561" s="201" t="s">
        <v>28</v>
      </c>
      <c r="J561" s="198">
        <v>1</v>
      </c>
      <c r="K561" s="247" t="s">
        <v>1636</v>
      </c>
      <c r="L561" s="202" t="s">
        <v>54</v>
      </c>
      <c r="M561" s="276" t="s">
        <v>1637</v>
      </c>
      <c r="N561" s="197" t="s">
        <v>30</v>
      </c>
      <c r="O561" s="198" t="s">
        <v>31</v>
      </c>
      <c r="P561" s="49">
        <v>6096</v>
      </c>
      <c r="Q561" s="18" t="str">
        <f t="shared" si="8"/>
        <v>BM BB01 _ A _ Méthode enzymatique (Uréase) _ Quantitatif _ Automatisée _ 1 _ Cobas Pure</v>
      </c>
      <c r="R561" s="4"/>
      <c r="S561" s="4"/>
      <c r="T561" s="4"/>
      <c r="U561" s="4"/>
    </row>
    <row r="562" spans="1:21" ht="51" x14ac:dyDescent="0.2">
      <c r="A562" s="14" t="s">
        <v>1297</v>
      </c>
      <c r="B562" s="19" t="s">
        <v>21</v>
      </c>
      <c r="C562" s="19" t="s">
        <v>22</v>
      </c>
      <c r="D562" s="15" t="s">
        <v>23</v>
      </c>
      <c r="E562" s="200" t="s">
        <v>55</v>
      </c>
      <c r="F562" s="197" t="s">
        <v>25</v>
      </c>
      <c r="G562" s="201" t="s">
        <v>36</v>
      </c>
      <c r="H562" s="201" t="s">
        <v>27</v>
      </c>
      <c r="I562" s="201" t="s">
        <v>28</v>
      </c>
      <c r="J562" s="198">
        <v>1</v>
      </c>
      <c r="K562" s="247" t="s">
        <v>1636</v>
      </c>
      <c r="L562" s="202" t="s">
        <v>56</v>
      </c>
      <c r="M562" s="276" t="s">
        <v>1637</v>
      </c>
      <c r="N562" s="197" t="s">
        <v>30</v>
      </c>
      <c r="O562" s="198" t="s">
        <v>31</v>
      </c>
      <c r="P562" s="49">
        <v>1231</v>
      </c>
      <c r="Q562" s="18" t="str">
        <f t="shared" si="8"/>
        <v>BM BB01 _ A _ Electrochimiluminescence _ Quantitatif _ Automatisée _ 1 _ Cobas Pure</v>
      </c>
      <c r="R562" s="4"/>
      <c r="S562" s="4"/>
      <c r="T562" s="4"/>
      <c r="U562" s="4"/>
    </row>
    <row r="563" spans="1:21" ht="51" x14ac:dyDescent="0.2">
      <c r="A563" s="14" t="s">
        <v>1297</v>
      </c>
      <c r="B563" s="19" t="s">
        <v>21</v>
      </c>
      <c r="C563" s="19" t="s">
        <v>22</v>
      </c>
      <c r="D563" s="15" t="s">
        <v>23</v>
      </c>
      <c r="E563" s="197" t="s">
        <v>57</v>
      </c>
      <c r="F563" s="197" t="s">
        <v>25</v>
      </c>
      <c r="G563" s="201" t="s">
        <v>33</v>
      </c>
      <c r="H563" s="201" t="s">
        <v>27</v>
      </c>
      <c r="I563" s="201" t="s">
        <v>28</v>
      </c>
      <c r="J563" s="198">
        <v>1</v>
      </c>
      <c r="K563" s="247" t="s">
        <v>1636</v>
      </c>
      <c r="L563" s="202" t="s">
        <v>58</v>
      </c>
      <c r="M563" s="276" t="s">
        <v>1637</v>
      </c>
      <c r="N563" s="197" t="s">
        <v>30</v>
      </c>
      <c r="O563" s="198" t="s">
        <v>31</v>
      </c>
      <c r="P563" s="49">
        <v>6436</v>
      </c>
      <c r="Q563" s="18" t="str">
        <f t="shared" si="8"/>
        <v>BM BB01 _ A _ Potentiométrie indirecte _ Quantitatif _ Automatisée _ 1 _ Cobas Pure</v>
      </c>
      <c r="R563" s="4"/>
      <c r="S563" s="4"/>
      <c r="T563" s="4"/>
      <c r="U563" s="4"/>
    </row>
    <row r="564" spans="1:21" ht="51" x14ac:dyDescent="0.2">
      <c r="A564" s="14" t="s">
        <v>1297</v>
      </c>
      <c r="B564" s="19" t="s">
        <v>21</v>
      </c>
      <c r="C564" s="19" t="s">
        <v>22</v>
      </c>
      <c r="D564" s="15" t="s">
        <v>23</v>
      </c>
      <c r="E564" s="200" t="s">
        <v>59</v>
      </c>
      <c r="F564" s="197" t="s">
        <v>25</v>
      </c>
      <c r="G564" s="201" t="s">
        <v>60</v>
      </c>
      <c r="H564" s="201" t="s">
        <v>27</v>
      </c>
      <c r="I564" s="201" t="s">
        <v>28</v>
      </c>
      <c r="J564" s="198">
        <v>1</v>
      </c>
      <c r="K564" s="247" t="s">
        <v>1636</v>
      </c>
      <c r="L564" s="202" t="s">
        <v>61</v>
      </c>
      <c r="M564" s="276" t="s">
        <v>1637</v>
      </c>
      <c r="N564" s="197" t="s">
        <v>30</v>
      </c>
      <c r="O564" s="198" t="s">
        <v>31</v>
      </c>
      <c r="P564" s="49">
        <v>6083</v>
      </c>
      <c r="Q564" s="18" t="str">
        <f t="shared" si="8"/>
        <v>BM BB01 _ A _ Colorimétrique (Biuret) _ Quantitatif _ Automatisée _ 1 _ Cobas Pure</v>
      </c>
      <c r="R564" s="4"/>
      <c r="S564" s="4"/>
      <c r="T564" s="4"/>
      <c r="U564" s="4"/>
    </row>
    <row r="565" spans="1:21" ht="146.25" customHeight="1" x14ac:dyDescent="0.2">
      <c r="A565" s="14" t="s">
        <v>1297</v>
      </c>
      <c r="B565" s="19" t="s">
        <v>21</v>
      </c>
      <c r="C565" s="19" t="s">
        <v>22</v>
      </c>
      <c r="D565" s="15" t="s">
        <v>23</v>
      </c>
      <c r="E565" s="197" t="s">
        <v>62</v>
      </c>
      <c r="F565" s="197" t="s">
        <v>25</v>
      </c>
      <c r="G565" s="201" t="s">
        <v>36</v>
      </c>
      <c r="H565" s="201" t="s">
        <v>27</v>
      </c>
      <c r="I565" s="201" t="s">
        <v>28</v>
      </c>
      <c r="J565" s="198">
        <v>1</v>
      </c>
      <c r="K565" s="247" t="s">
        <v>1636</v>
      </c>
      <c r="L565" s="202" t="s">
        <v>63</v>
      </c>
      <c r="M565" s="276" t="s">
        <v>1637</v>
      </c>
      <c r="N565" s="197" t="s">
        <v>30</v>
      </c>
      <c r="O565" s="198" t="s">
        <v>31</v>
      </c>
      <c r="P565" s="49">
        <v>1417</v>
      </c>
      <c r="Q565" s="18" t="str">
        <f t="shared" si="8"/>
        <v>BM BB01 _ A _ Electrochimiluminescence _ Quantitatif _ Automatisée _ 1 _ Cobas Pure</v>
      </c>
      <c r="R565" s="4"/>
      <c r="S565" s="4"/>
      <c r="T565" s="4"/>
      <c r="U565" s="4"/>
    </row>
    <row r="566" spans="1:21" ht="146.25" customHeight="1" x14ac:dyDescent="0.2">
      <c r="A566" s="14" t="s">
        <v>1297</v>
      </c>
      <c r="B566" s="19" t="s">
        <v>21</v>
      </c>
      <c r="C566" s="19" t="s">
        <v>22</v>
      </c>
      <c r="D566" s="15" t="s">
        <v>23</v>
      </c>
      <c r="E566" s="197" t="s">
        <v>64</v>
      </c>
      <c r="F566" s="197" t="s">
        <v>25</v>
      </c>
      <c r="G566" s="201" t="s">
        <v>65</v>
      </c>
      <c r="H566" s="201" t="s">
        <v>27</v>
      </c>
      <c r="I566" s="201" t="s">
        <v>28</v>
      </c>
      <c r="J566" s="198">
        <v>1</v>
      </c>
      <c r="K566" s="247" t="s">
        <v>1636</v>
      </c>
      <c r="L566" s="202" t="s">
        <v>66</v>
      </c>
      <c r="M566" s="276" t="s">
        <v>1637</v>
      </c>
      <c r="N566" s="197" t="s">
        <v>30</v>
      </c>
      <c r="O566" s="198" t="s">
        <v>31</v>
      </c>
      <c r="P566" s="49">
        <v>2825</v>
      </c>
      <c r="Q566" s="18" t="str">
        <f t="shared" si="8"/>
        <v>BM BB01 _ A _ Colorimétrie   _ Quantitatif _ Automatisée _ 1 _ Cobas Pure</v>
      </c>
      <c r="R566" s="4"/>
      <c r="S566" s="4"/>
      <c r="T566" s="4"/>
      <c r="U566" s="4"/>
    </row>
    <row r="567" spans="1:21" ht="51" x14ac:dyDescent="0.2">
      <c r="A567" s="14" t="s">
        <v>1297</v>
      </c>
      <c r="B567" s="19" t="s">
        <v>21</v>
      </c>
      <c r="C567" s="14" t="s">
        <v>22</v>
      </c>
      <c r="D567" s="15" t="s">
        <v>23</v>
      </c>
      <c r="E567" s="197" t="s">
        <v>67</v>
      </c>
      <c r="F567" s="197" t="s">
        <v>25</v>
      </c>
      <c r="G567" s="197" t="s">
        <v>47</v>
      </c>
      <c r="H567" s="197" t="s">
        <v>27</v>
      </c>
      <c r="I567" s="197" t="s">
        <v>28</v>
      </c>
      <c r="J567" s="198">
        <v>1</v>
      </c>
      <c r="K567" s="247" t="s">
        <v>1636</v>
      </c>
      <c r="L567" s="202" t="s">
        <v>68</v>
      </c>
      <c r="M567" s="276" t="s">
        <v>1637</v>
      </c>
      <c r="N567" s="197" t="s">
        <v>30</v>
      </c>
      <c r="O567" s="198" t="s">
        <v>31</v>
      </c>
      <c r="P567" s="49">
        <v>455</v>
      </c>
      <c r="Q567" s="18" t="str">
        <f t="shared" si="8"/>
        <v>BM BB01 _ A _ Colorimétrie enzymatique _ Quantitatif _ Automatisée _ 1 _ Cobas Pure</v>
      </c>
      <c r="R567" s="4"/>
      <c r="S567" s="4"/>
      <c r="T567" s="4"/>
      <c r="U567" s="4"/>
    </row>
    <row r="568" spans="1:21" ht="51" x14ac:dyDescent="0.2">
      <c r="A568" s="258" t="s">
        <v>1297</v>
      </c>
      <c r="B568" s="258" t="s">
        <v>21</v>
      </c>
      <c r="C568" s="258" t="s">
        <v>69</v>
      </c>
      <c r="D568" s="259" t="s">
        <v>23</v>
      </c>
      <c r="E568" s="260" t="s">
        <v>70</v>
      </c>
      <c r="F568" s="260" t="s">
        <v>25</v>
      </c>
      <c r="G568" s="260" t="s">
        <v>36</v>
      </c>
      <c r="H568" s="260" t="s">
        <v>27</v>
      </c>
      <c r="I568" s="260" t="s">
        <v>28</v>
      </c>
      <c r="J568" s="261">
        <v>1</v>
      </c>
      <c r="K568" s="260" t="s">
        <v>1298</v>
      </c>
      <c r="L568" s="260" t="s">
        <v>71</v>
      </c>
      <c r="M568" s="272" t="s">
        <v>1638</v>
      </c>
      <c r="N568" s="260" t="s">
        <v>30</v>
      </c>
      <c r="O568" s="261" t="s">
        <v>31</v>
      </c>
      <c r="P568" s="262">
        <v>575</v>
      </c>
      <c r="Q568" s="18" t="str">
        <f t="shared" si="8"/>
        <v>BM BB01 _ A _ Electrochimiluminescence _ Quantitatif _ Automatisée _ 1 _ Cobas Roche 6000</v>
      </c>
      <c r="R568" s="4"/>
      <c r="S568" s="4"/>
      <c r="T568" s="4"/>
      <c r="U568" s="4"/>
    </row>
    <row r="569" spans="1:21" ht="51" x14ac:dyDescent="0.2">
      <c r="A569" s="14" t="s">
        <v>1297</v>
      </c>
      <c r="B569" s="19" t="s">
        <v>21</v>
      </c>
      <c r="C569" s="22" t="s">
        <v>69</v>
      </c>
      <c r="D569" s="15" t="s">
        <v>23</v>
      </c>
      <c r="E569" s="202" t="s">
        <v>72</v>
      </c>
      <c r="F569" s="202" t="s">
        <v>25</v>
      </c>
      <c r="G569" s="202" t="s">
        <v>73</v>
      </c>
      <c r="H569" s="202" t="s">
        <v>27</v>
      </c>
      <c r="I569" s="202" t="s">
        <v>28</v>
      </c>
      <c r="J569" s="198">
        <v>1</v>
      </c>
      <c r="K569" s="247" t="s">
        <v>1636</v>
      </c>
      <c r="L569" s="202" t="s">
        <v>74</v>
      </c>
      <c r="M569" s="276" t="s">
        <v>1637</v>
      </c>
      <c r="N569" s="197" t="s">
        <v>30</v>
      </c>
      <c r="O569" s="198" t="s">
        <v>31</v>
      </c>
      <c r="P569" s="49">
        <v>5429</v>
      </c>
      <c r="Q569" s="18" t="str">
        <f t="shared" si="8"/>
        <v>BM BB01 _ A _ Immunoturbidimétrie _ Quantitatif _ Automatisée _ 1 _ Cobas Pure</v>
      </c>
      <c r="R569" s="4"/>
      <c r="S569" s="4"/>
      <c r="T569" s="4"/>
      <c r="U569" s="4"/>
    </row>
    <row r="570" spans="1:21" ht="51" x14ac:dyDescent="0.2">
      <c r="A570" s="14" t="s">
        <v>1297</v>
      </c>
      <c r="B570" s="258" t="s">
        <v>21</v>
      </c>
      <c r="C570" s="258" t="s">
        <v>69</v>
      </c>
      <c r="D570" s="259" t="s">
        <v>23</v>
      </c>
      <c r="E570" s="260" t="s">
        <v>75</v>
      </c>
      <c r="F570" s="260" t="s">
        <v>25</v>
      </c>
      <c r="G570" s="260" t="s">
        <v>47</v>
      </c>
      <c r="H570" s="260" t="s">
        <v>27</v>
      </c>
      <c r="I570" s="260" t="s">
        <v>28</v>
      </c>
      <c r="J570" s="261">
        <v>1</v>
      </c>
      <c r="K570" s="260" t="s">
        <v>1299</v>
      </c>
      <c r="L570" s="260" t="s">
        <v>76</v>
      </c>
      <c r="M570" s="272" t="s">
        <v>1638</v>
      </c>
      <c r="N570" s="260" t="s">
        <v>30</v>
      </c>
      <c r="O570" s="261" t="s">
        <v>31</v>
      </c>
      <c r="P570" s="262">
        <v>707</v>
      </c>
      <c r="Q570" s="18" t="str">
        <f t="shared" si="8"/>
        <v>BM BB01 _ A _ Colorimétrie enzymatique _ Quantitatif _ Automatisée _ 1 _ St Julien : Roche Cobas module c501</v>
      </c>
      <c r="R570" s="4"/>
      <c r="S570" s="4"/>
      <c r="T570" s="4"/>
      <c r="U570" s="4"/>
    </row>
    <row r="571" spans="1:21" ht="51" x14ac:dyDescent="0.2">
      <c r="A571" s="14" t="s">
        <v>1297</v>
      </c>
      <c r="B571" s="258" t="s">
        <v>21</v>
      </c>
      <c r="C571" s="258" t="s">
        <v>69</v>
      </c>
      <c r="D571" s="259" t="s">
        <v>23</v>
      </c>
      <c r="E571" s="260" t="s">
        <v>77</v>
      </c>
      <c r="F571" s="260" t="s">
        <v>25</v>
      </c>
      <c r="G571" s="260" t="s">
        <v>47</v>
      </c>
      <c r="H571" s="260" t="s">
        <v>27</v>
      </c>
      <c r="I571" s="260" t="s">
        <v>28</v>
      </c>
      <c r="J571" s="261">
        <v>1</v>
      </c>
      <c r="K571" s="260" t="s">
        <v>1299</v>
      </c>
      <c r="L571" s="260" t="s">
        <v>76</v>
      </c>
      <c r="M571" s="272" t="s">
        <v>1638</v>
      </c>
      <c r="N571" s="260" t="s">
        <v>30</v>
      </c>
      <c r="O571" s="261" t="s">
        <v>31</v>
      </c>
      <c r="P571" s="262">
        <v>706</v>
      </c>
      <c r="Q571" s="18" t="str">
        <f t="shared" si="8"/>
        <v>BM BB01 _ A _ Colorimétrie enzymatique _ Quantitatif _ Automatisée _ 1 _ St Julien : Roche Cobas module c501</v>
      </c>
      <c r="R571" s="4"/>
      <c r="S571" s="4"/>
      <c r="T571" s="4"/>
      <c r="U571" s="4"/>
    </row>
    <row r="572" spans="1:21" ht="51" x14ac:dyDescent="0.2">
      <c r="A572" s="14" t="s">
        <v>1297</v>
      </c>
      <c r="B572" s="258" t="s">
        <v>21</v>
      </c>
      <c r="C572" s="258" t="s">
        <v>69</v>
      </c>
      <c r="D572" s="259" t="s">
        <v>23</v>
      </c>
      <c r="E572" s="260" t="s">
        <v>78</v>
      </c>
      <c r="F572" s="260" t="s">
        <v>25</v>
      </c>
      <c r="G572" s="260" t="s">
        <v>47</v>
      </c>
      <c r="H572" s="260" t="s">
        <v>27</v>
      </c>
      <c r="I572" s="260" t="s">
        <v>28</v>
      </c>
      <c r="J572" s="261">
        <v>1</v>
      </c>
      <c r="K572" s="260" t="s">
        <v>1299</v>
      </c>
      <c r="L572" s="260" t="s">
        <v>79</v>
      </c>
      <c r="M572" s="272" t="s">
        <v>1638</v>
      </c>
      <c r="N572" s="260" t="s">
        <v>30</v>
      </c>
      <c r="O572" s="261" t="s">
        <v>31</v>
      </c>
      <c r="P572" s="262">
        <v>715</v>
      </c>
      <c r="Q572" s="18" t="str">
        <f t="shared" si="8"/>
        <v>BM BB01 _ A _ Colorimétrie enzymatique _ Quantitatif _ Automatisée _ 1 _ St Julien : Roche Cobas module c501</v>
      </c>
      <c r="R572" s="4"/>
      <c r="S572" s="4"/>
      <c r="T572" s="4"/>
      <c r="U572" s="4"/>
    </row>
    <row r="573" spans="1:21" ht="51" x14ac:dyDescent="0.2">
      <c r="A573" s="14" t="s">
        <v>1297</v>
      </c>
      <c r="B573" s="19" t="s">
        <v>21</v>
      </c>
      <c r="C573" s="14" t="s">
        <v>69</v>
      </c>
      <c r="D573" s="15" t="s">
        <v>23</v>
      </c>
      <c r="E573" s="197" t="s">
        <v>80</v>
      </c>
      <c r="F573" s="197" t="s">
        <v>25</v>
      </c>
      <c r="G573" s="197" t="s">
        <v>26</v>
      </c>
      <c r="H573" s="197" t="s">
        <v>27</v>
      </c>
      <c r="I573" s="197" t="s">
        <v>28</v>
      </c>
      <c r="J573" s="198">
        <v>1</v>
      </c>
      <c r="K573" s="247" t="s">
        <v>1636</v>
      </c>
      <c r="L573" s="202" t="s">
        <v>81</v>
      </c>
      <c r="M573" s="276" t="s">
        <v>1637</v>
      </c>
      <c r="N573" s="197" t="s">
        <v>30</v>
      </c>
      <c r="O573" s="198" t="s">
        <v>31</v>
      </c>
      <c r="P573" s="49">
        <v>2855</v>
      </c>
      <c r="Q573" s="18" t="str">
        <f t="shared" si="8"/>
        <v>BM BB01 _ A _ Cinétique enzymatique standardisée IFCC _ Quantitatif _ Automatisée _ 1 _ Cobas Pure</v>
      </c>
      <c r="R573" s="4"/>
      <c r="S573" s="4"/>
      <c r="T573" s="4"/>
      <c r="U573" s="4"/>
    </row>
    <row r="574" spans="1:21" ht="51" x14ac:dyDescent="0.2">
      <c r="A574" s="14" t="s">
        <v>1297</v>
      </c>
      <c r="B574" s="19" t="s">
        <v>21</v>
      </c>
      <c r="C574" s="14" t="s">
        <v>69</v>
      </c>
      <c r="D574" s="15" t="s">
        <v>23</v>
      </c>
      <c r="E574" s="197" t="s">
        <v>82</v>
      </c>
      <c r="F574" s="197" t="s">
        <v>25</v>
      </c>
      <c r="G574" s="197" t="s">
        <v>26</v>
      </c>
      <c r="H574" s="197" t="s">
        <v>27</v>
      </c>
      <c r="I574" s="197" t="s">
        <v>28</v>
      </c>
      <c r="J574" s="198">
        <v>1</v>
      </c>
      <c r="K574" s="247" t="s">
        <v>1636</v>
      </c>
      <c r="L574" s="202" t="s">
        <v>83</v>
      </c>
      <c r="M574" s="276" t="s">
        <v>1637</v>
      </c>
      <c r="N574" s="197" t="s">
        <v>30</v>
      </c>
      <c r="O574" s="198" t="s">
        <v>31</v>
      </c>
      <c r="P574" s="49">
        <v>2849</v>
      </c>
      <c r="Q574" s="18" t="str">
        <f t="shared" si="8"/>
        <v>BM BB01 _ A _ Cinétique enzymatique standardisée IFCC _ Quantitatif _ Automatisée _ 1 _ Cobas Pure</v>
      </c>
      <c r="R574" s="4"/>
      <c r="S574" s="4"/>
      <c r="T574" s="4"/>
      <c r="U574" s="4"/>
    </row>
    <row r="575" spans="1:21" ht="51" x14ac:dyDescent="0.2">
      <c r="A575" s="14" t="s">
        <v>1297</v>
      </c>
      <c r="B575" s="19" t="s">
        <v>21</v>
      </c>
      <c r="C575" s="14" t="s">
        <v>69</v>
      </c>
      <c r="D575" s="15" t="s">
        <v>23</v>
      </c>
      <c r="E575" s="197" t="s">
        <v>84</v>
      </c>
      <c r="F575" s="197" t="s">
        <v>25</v>
      </c>
      <c r="G575" s="197" t="s">
        <v>1790</v>
      </c>
      <c r="H575" s="197" t="s">
        <v>27</v>
      </c>
      <c r="I575" s="197" t="s">
        <v>28</v>
      </c>
      <c r="J575" s="198">
        <v>1</v>
      </c>
      <c r="K575" s="247" t="s">
        <v>1792</v>
      </c>
      <c r="L575" s="247" t="s">
        <v>1791</v>
      </c>
      <c r="M575" s="276" t="s">
        <v>1793</v>
      </c>
      <c r="N575" s="197" t="s">
        <v>30</v>
      </c>
      <c r="O575" s="198" t="s">
        <v>31</v>
      </c>
      <c r="P575" s="49">
        <v>2862</v>
      </c>
      <c r="Q575" s="18" t="str">
        <f t="shared" si="8"/>
        <v>BM BB01 _ A _ Spectrophotométrie  _ Quantitatif _ Automatisée _ 1 _ Cobas Pure c303</v>
      </c>
      <c r="R575" s="4"/>
      <c r="S575" s="4"/>
      <c r="T575" s="4"/>
      <c r="U575" s="4"/>
    </row>
    <row r="576" spans="1:21" ht="51" x14ac:dyDescent="0.2">
      <c r="A576" s="14" t="s">
        <v>1297</v>
      </c>
      <c r="B576" s="19" t="s">
        <v>21</v>
      </c>
      <c r="C576" s="14" t="s">
        <v>69</v>
      </c>
      <c r="D576" s="15" t="s">
        <v>23</v>
      </c>
      <c r="E576" s="197" t="s">
        <v>86</v>
      </c>
      <c r="F576" s="197" t="s">
        <v>25</v>
      </c>
      <c r="G576" s="197" t="s">
        <v>50</v>
      </c>
      <c r="H576" s="197" t="s">
        <v>27</v>
      </c>
      <c r="I576" s="197" t="s">
        <v>28</v>
      </c>
      <c r="J576" s="198">
        <v>1</v>
      </c>
      <c r="K576" s="247" t="s">
        <v>1636</v>
      </c>
      <c r="L576" s="202" t="s">
        <v>85</v>
      </c>
      <c r="M576" s="276" t="s">
        <v>1637</v>
      </c>
      <c r="N576" s="197" t="s">
        <v>30</v>
      </c>
      <c r="O576" s="198" t="s">
        <v>31</v>
      </c>
      <c r="P576" s="49">
        <v>258</v>
      </c>
      <c r="Q576" s="18" t="str">
        <f t="shared" si="8"/>
        <v>BM BB01 _ A _ Colorimétrie _ Quantitatif _ Automatisée _ 1 _ Cobas Pure</v>
      </c>
      <c r="R576" s="4"/>
      <c r="S576" s="4"/>
      <c r="T576" s="4"/>
      <c r="U576" s="4"/>
    </row>
    <row r="577" spans="1:21" ht="49.5" customHeight="1" x14ac:dyDescent="0.2">
      <c r="A577" s="14" t="s">
        <v>1297</v>
      </c>
      <c r="B577" s="19" t="s">
        <v>21</v>
      </c>
      <c r="C577" s="14" t="s">
        <v>69</v>
      </c>
      <c r="D577" s="15" t="s">
        <v>23</v>
      </c>
      <c r="E577" s="197" t="s">
        <v>87</v>
      </c>
      <c r="F577" s="197" t="s">
        <v>25</v>
      </c>
      <c r="G577" s="197" t="s">
        <v>36</v>
      </c>
      <c r="H577" s="197" t="s">
        <v>27</v>
      </c>
      <c r="I577" s="197" t="s">
        <v>28</v>
      </c>
      <c r="J577" s="198">
        <v>1</v>
      </c>
      <c r="K577" s="247" t="s">
        <v>1636</v>
      </c>
      <c r="L577" s="202" t="s">
        <v>88</v>
      </c>
      <c r="M577" s="276" t="s">
        <v>1637</v>
      </c>
      <c r="N577" s="197" t="s">
        <v>30</v>
      </c>
      <c r="O577" s="198" t="s">
        <v>31</v>
      </c>
      <c r="P577" s="49">
        <v>181</v>
      </c>
      <c r="Q577" s="18" t="str">
        <f t="shared" si="8"/>
        <v>BM BB01 _ A _ Electrochimiluminescence _ Quantitatif _ Automatisée _ 1 _ Cobas Pure</v>
      </c>
      <c r="R577" s="4"/>
      <c r="S577" s="4"/>
      <c r="T577" s="4"/>
      <c r="U577" s="4"/>
    </row>
    <row r="578" spans="1:21" ht="51.75" customHeight="1" x14ac:dyDescent="0.2">
      <c r="A578" s="14" t="s">
        <v>1297</v>
      </c>
      <c r="B578" s="19" t="s">
        <v>21</v>
      </c>
      <c r="C578" s="14" t="s">
        <v>69</v>
      </c>
      <c r="D578" s="15" t="s">
        <v>23</v>
      </c>
      <c r="E578" s="200" t="s">
        <v>89</v>
      </c>
      <c r="F578" s="197" t="s">
        <v>25</v>
      </c>
      <c r="G578" s="197" t="s">
        <v>90</v>
      </c>
      <c r="H578" s="197" t="s">
        <v>27</v>
      </c>
      <c r="I578" s="197" t="s">
        <v>28</v>
      </c>
      <c r="J578" s="198">
        <v>1</v>
      </c>
      <c r="K578" s="247" t="s">
        <v>1636</v>
      </c>
      <c r="L578" s="202" t="s">
        <v>91</v>
      </c>
      <c r="M578" s="276" t="s">
        <v>1637</v>
      </c>
      <c r="N578" s="197" t="s">
        <v>30</v>
      </c>
      <c r="O578" s="198" t="s">
        <v>31</v>
      </c>
      <c r="P578" s="49">
        <v>6393</v>
      </c>
      <c r="Q578" s="18" t="str">
        <f t="shared" si="8"/>
        <v>BM BB01 _ A _ Colorimétrie ou colorimétrie enzymatique _ Quantitatif _ Automatisée _ 1 _ Cobas Pure</v>
      </c>
      <c r="R578" s="4"/>
      <c r="S578" s="4"/>
      <c r="T578" s="4"/>
      <c r="U578" s="4"/>
    </row>
    <row r="579" spans="1:21" ht="58.5" customHeight="1" x14ac:dyDescent="0.2">
      <c r="A579" s="14" t="s">
        <v>1297</v>
      </c>
      <c r="B579" s="19" t="s">
        <v>21</v>
      </c>
      <c r="C579" s="14" t="s">
        <v>69</v>
      </c>
      <c r="D579" s="15" t="s">
        <v>23</v>
      </c>
      <c r="E579" s="197" t="s">
        <v>92</v>
      </c>
      <c r="F579" s="197" t="s">
        <v>25</v>
      </c>
      <c r="G579" s="197" t="s">
        <v>93</v>
      </c>
      <c r="H579" s="197" t="s">
        <v>27</v>
      </c>
      <c r="I579" s="197" t="s">
        <v>28</v>
      </c>
      <c r="J579" s="198" t="s">
        <v>94</v>
      </c>
      <c r="K579" s="197" t="s">
        <v>94</v>
      </c>
      <c r="L579" s="197" t="s">
        <v>91</v>
      </c>
      <c r="M579" s="264"/>
      <c r="N579" s="197" t="s">
        <v>30</v>
      </c>
      <c r="O579" s="198" t="s">
        <v>31</v>
      </c>
      <c r="P579" s="49">
        <v>0</v>
      </c>
      <c r="Q579" s="18" t="str">
        <f t="shared" si="8"/>
        <v>BM BB01 _ A _ Calcul _ Quantitatif _ Automatisée _ NA _ NA</v>
      </c>
      <c r="R579" s="4"/>
      <c r="S579" s="4"/>
      <c r="T579" s="4"/>
      <c r="U579" s="4"/>
    </row>
    <row r="580" spans="1:21" ht="51" x14ac:dyDescent="0.2">
      <c r="A580" s="14" t="s">
        <v>1297</v>
      </c>
      <c r="B580" s="19" t="s">
        <v>21</v>
      </c>
      <c r="C580" s="14" t="s">
        <v>69</v>
      </c>
      <c r="D580" s="15" t="s">
        <v>23</v>
      </c>
      <c r="E580" s="197" t="s">
        <v>96</v>
      </c>
      <c r="F580" s="197" t="s">
        <v>25</v>
      </c>
      <c r="G580" s="197" t="s">
        <v>93</v>
      </c>
      <c r="H580" s="197" t="s">
        <v>27</v>
      </c>
      <c r="I580" s="197" t="s">
        <v>28</v>
      </c>
      <c r="J580" s="198" t="s">
        <v>94</v>
      </c>
      <c r="K580" s="197" t="s">
        <v>94</v>
      </c>
      <c r="L580" s="197" t="s">
        <v>91</v>
      </c>
      <c r="M580" s="264"/>
      <c r="N580" s="197" t="s">
        <v>30</v>
      </c>
      <c r="O580" s="198" t="s">
        <v>31</v>
      </c>
      <c r="P580" s="49">
        <v>0</v>
      </c>
      <c r="Q580" s="18" t="str">
        <f t="shared" si="8"/>
        <v>BM BB01 _ A _ Calcul _ Quantitatif _ Automatisée _ NA _ NA</v>
      </c>
      <c r="R580" s="4"/>
      <c r="S580" s="4"/>
      <c r="T580" s="4"/>
      <c r="U580" s="4"/>
    </row>
    <row r="581" spans="1:21" ht="51" x14ac:dyDescent="0.2">
      <c r="A581" s="14" t="s">
        <v>1297</v>
      </c>
      <c r="B581" s="19" t="s">
        <v>21</v>
      </c>
      <c r="C581" s="14" t="s">
        <v>69</v>
      </c>
      <c r="D581" s="15" t="s">
        <v>23</v>
      </c>
      <c r="E581" s="197" t="s">
        <v>97</v>
      </c>
      <c r="F581" s="197" t="s">
        <v>25</v>
      </c>
      <c r="G581" s="197" t="s">
        <v>98</v>
      </c>
      <c r="H581" s="197" t="s">
        <v>27</v>
      </c>
      <c r="I581" s="197" t="s">
        <v>28</v>
      </c>
      <c r="J581" s="198">
        <v>1</v>
      </c>
      <c r="K581" s="247" t="s">
        <v>1636</v>
      </c>
      <c r="L581" s="202" t="s">
        <v>99</v>
      </c>
      <c r="M581" s="276" t="s">
        <v>1637</v>
      </c>
      <c r="N581" s="197" t="s">
        <v>30</v>
      </c>
      <c r="O581" s="198" t="s">
        <v>31</v>
      </c>
      <c r="P581" s="49">
        <v>6081</v>
      </c>
      <c r="Q581" s="18" t="str">
        <f t="shared" si="8"/>
        <v>BM BB01 _ A _ Méthode enzymatique (PEPCK) _ Quantitatif _ Automatisée _ 1 _ Cobas Pure</v>
      </c>
      <c r="R581" s="4"/>
      <c r="S581" s="4"/>
      <c r="T581" s="4"/>
      <c r="U581" s="4"/>
    </row>
    <row r="582" spans="1:21" ht="51" x14ac:dyDescent="0.2">
      <c r="A582" s="14" t="s">
        <v>1297</v>
      </c>
      <c r="B582" s="19" t="s">
        <v>21</v>
      </c>
      <c r="C582" s="14" t="s">
        <v>69</v>
      </c>
      <c r="D582" s="15" t="s">
        <v>23</v>
      </c>
      <c r="E582" s="197" t="s">
        <v>100</v>
      </c>
      <c r="F582" s="197" t="s">
        <v>25</v>
      </c>
      <c r="G582" s="197" t="s">
        <v>47</v>
      </c>
      <c r="H582" s="197" t="s">
        <v>27</v>
      </c>
      <c r="I582" s="197" t="s">
        <v>28</v>
      </c>
      <c r="J582" s="198">
        <v>1</v>
      </c>
      <c r="K582" s="247" t="s">
        <v>1636</v>
      </c>
      <c r="L582" s="202" t="s">
        <v>101</v>
      </c>
      <c r="M582" s="276" t="s">
        <v>1637</v>
      </c>
      <c r="N582" s="197" t="s">
        <v>30</v>
      </c>
      <c r="O582" s="198" t="s">
        <v>31</v>
      </c>
      <c r="P582" s="49">
        <v>197</v>
      </c>
      <c r="Q582" s="18" t="str">
        <f t="shared" si="8"/>
        <v>BM BB01 _ A _ Colorimétrie enzymatique _ Quantitatif _ Automatisée _ 1 _ Cobas Pure</v>
      </c>
      <c r="R582" s="4"/>
      <c r="S582" s="4"/>
      <c r="T582" s="4"/>
      <c r="U582" s="4"/>
    </row>
    <row r="583" spans="1:21" ht="63.75" x14ac:dyDescent="0.2">
      <c r="A583" s="14" t="s">
        <v>1297</v>
      </c>
      <c r="B583" s="19" t="s">
        <v>21</v>
      </c>
      <c r="C583" s="14" t="s">
        <v>69</v>
      </c>
      <c r="D583" s="15" t="s">
        <v>23</v>
      </c>
      <c r="E583" s="197" t="s">
        <v>102</v>
      </c>
      <c r="F583" s="197" t="s">
        <v>25</v>
      </c>
      <c r="G583" s="197" t="s">
        <v>103</v>
      </c>
      <c r="H583" s="197" t="s">
        <v>27</v>
      </c>
      <c r="I583" s="197" t="s">
        <v>28</v>
      </c>
      <c r="J583" s="198">
        <v>1</v>
      </c>
      <c r="K583" s="247" t="s">
        <v>1636</v>
      </c>
      <c r="L583" s="202" t="s">
        <v>104</v>
      </c>
      <c r="M583" s="276" t="s">
        <v>1637</v>
      </c>
      <c r="N583" s="197" t="s">
        <v>30</v>
      </c>
      <c r="O583" s="198" t="s">
        <v>31</v>
      </c>
      <c r="P583" s="49">
        <v>1406</v>
      </c>
      <c r="Q583" s="18" t="str">
        <f t="shared" si="8"/>
        <v>BM BB01 _ A _ Spectrophotométrie UV (Molybdate d'ammonium) _ Quantitatif _ Automatisée _ 1 _ Cobas Pure</v>
      </c>
      <c r="R583" s="4"/>
      <c r="S583" s="4"/>
      <c r="T583" s="4"/>
      <c r="U583" s="4"/>
    </row>
    <row r="584" spans="1:21" ht="51" x14ac:dyDescent="0.2">
      <c r="A584" s="14" t="s">
        <v>1297</v>
      </c>
      <c r="B584" s="19" t="s">
        <v>21</v>
      </c>
      <c r="C584" s="14" t="s">
        <v>69</v>
      </c>
      <c r="D584" s="15" t="s">
        <v>23</v>
      </c>
      <c r="E584" s="197" t="s">
        <v>105</v>
      </c>
      <c r="F584" s="197" t="s">
        <v>25</v>
      </c>
      <c r="G584" s="197" t="s">
        <v>106</v>
      </c>
      <c r="H584" s="197" t="s">
        <v>27</v>
      </c>
      <c r="I584" s="197" t="s">
        <v>28</v>
      </c>
      <c r="J584" s="198">
        <v>1</v>
      </c>
      <c r="K584" s="247" t="s">
        <v>1636</v>
      </c>
      <c r="L584" s="202" t="s">
        <v>107</v>
      </c>
      <c r="M584" s="276" t="s">
        <v>1637</v>
      </c>
      <c r="N584" s="197" t="s">
        <v>30</v>
      </c>
      <c r="O584" s="198" t="s">
        <v>31</v>
      </c>
      <c r="P584" s="49">
        <v>4651</v>
      </c>
      <c r="Q584" s="18" t="str">
        <f t="shared" si="8"/>
        <v>BM BB01 _ A _ Enzymatique _ Quantitatif _ Automatisée _ 1 _ Cobas Pure</v>
      </c>
      <c r="R584" s="4"/>
      <c r="S584" s="4"/>
      <c r="T584" s="4"/>
      <c r="U584" s="4"/>
    </row>
    <row r="585" spans="1:21" ht="51" x14ac:dyDescent="0.2">
      <c r="A585" s="14" t="s">
        <v>1297</v>
      </c>
      <c r="B585" s="19" t="s">
        <v>21</v>
      </c>
      <c r="C585" s="14" t="s">
        <v>69</v>
      </c>
      <c r="D585" s="15" t="s">
        <v>23</v>
      </c>
      <c r="E585" s="197" t="s">
        <v>108</v>
      </c>
      <c r="F585" s="197" t="s">
        <v>25</v>
      </c>
      <c r="G585" s="197" t="s">
        <v>109</v>
      </c>
      <c r="H585" s="197" t="s">
        <v>27</v>
      </c>
      <c r="I585" s="197" t="s">
        <v>28</v>
      </c>
      <c r="J585" s="198">
        <v>1</v>
      </c>
      <c r="K585" s="197" t="s">
        <v>1300</v>
      </c>
      <c r="L585" s="197" t="s">
        <v>1301</v>
      </c>
      <c r="M585" s="203"/>
      <c r="N585" s="197" t="s">
        <v>30</v>
      </c>
      <c r="O585" s="198" t="s">
        <v>31</v>
      </c>
      <c r="P585" s="49">
        <v>515</v>
      </c>
      <c r="Q585" s="18" t="str">
        <f t="shared" si="8"/>
        <v>BM BB01 _ A _ Potentiométrie directe _ Quantitatif _ Automatisée _ 1 _ GEM 5000
(WERFEN)</v>
      </c>
      <c r="R585" s="4"/>
      <c r="S585" s="4"/>
      <c r="T585" s="4"/>
      <c r="U585" s="4"/>
    </row>
    <row r="586" spans="1:21" ht="51" x14ac:dyDescent="0.2">
      <c r="A586" s="14" t="s">
        <v>1297</v>
      </c>
      <c r="B586" s="19" t="s">
        <v>21</v>
      </c>
      <c r="C586" s="14" t="s">
        <v>69</v>
      </c>
      <c r="D586" s="15" t="s">
        <v>23</v>
      </c>
      <c r="E586" s="197" t="s">
        <v>111</v>
      </c>
      <c r="F586" s="197" t="s">
        <v>25</v>
      </c>
      <c r="G586" s="197" t="s">
        <v>109</v>
      </c>
      <c r="H586" s="197" t="s">
        <v>27</v>
      </c>
      <c r="I586" s="197" t="s">
        <v>28</v>
      </c>
      <c r="J586" s="198">
        <v>1</v>
      </c>
      <c r="K586" s="197" t="s">
        <v>1300</v>
      </c>
      <c r="L586" s="197" t="s">
        <v>1301</v>
      </c>
      <c r="M586" s="203"/>
      <c r="N586" s="197" t="s">
        <v>30</v>
      </c>
      <c r="O586" s="198" t="s">
        <v>31</v>
      </c>
      <c r="P586" s="49">
        <v>515</v>
      </c>
      <c r="Q586" s="18" t="str">
        <f t="shared" si="8"/>
        <v>BM BB01 _ A _ Potentiométrie directe _ Quantitatif _ Automatisée _ 1 _ GEM 5000
(WERFEN)</v>
      </c>
      <c r="R586" s="4"/>
      <c r="S586" s="4"/>
      <c r="T586" s="4"/>
      <c r="U586" s="4"/>
    </row>
    <row r="587" spans="1:21" ht="51" x14ac:dyDescent="0.2">
      <c r="A587" s="14" t="s">
        <v>1297</v>
      </c>
      <c r="B587" s="19" t="s">
        <v>21</v>
      </c>
      <c r="C587" s="14" t="s">
        <v>69</v>
      </c>
      <c r="D587" s="15" t="s">
        <v>23</v>
      </c>
      <c r="E587" s="197" t="s">
        <v>113</v>
      </c>
      <c r="F587" s="197" t="s">
        <v>25</v>
      </c>
      <c r="G587" s="197" t="s">
        <v>109</v>
      </c>
      <c r="H587" s="197" t="s">
        <v>27</v>
      </c>
      <c r="I587" s="197" t="s">
        <v>28</v>
      </c>
      <c r="J587" s="198">
        <v>1</v>
      </c>
      <c r="K587" s="197" t="s">
        <v>1300</v>
      </c>
      <c r="L587" s="197" t="s">
        <v>1301</v>
      </c>
      <c r="M587" s="203"/>
      <c r="N587" s="197" t="s">
        <v>30</v>
      </c>
      <c r="O587" s="198" t="s">
        <v>31</v>
      </c>
      <c r="P587" s="49">
        <v>515</v>
      </c>
      <c r="Q587" s="18" t="str">
        <f t="shared" si="8"/>
        <v>BM BB01 _ A _ Potentiométrie directe _ Quantitatif _ Automatisée _ 1 _ GEM 5000
(WERFEN)</v>
      </c>
      <c r="R587" s="4"/>
      <c r="S587" s="4"/>
      <c r="T587" s="4"/>
      <c r="U587" s="4"/>
    </row>
    <row r="588" spans="1:21" ht="51" x14ac:dyDescent="0.2">
      <c r="A588" s="14" t="s">
        <v>1297</v>
      </c>
      <c r="B588" s="19" t="s">
        <v>21</v>
      </c>
      <c r="C588" s="23" t="s">
        <v>22</v>
      </c>
      <c r="D588" s="23" t="s">
        <v>23</v>
      </c>
      <c r="E588" s="204" t="s">
        <v>114</v>
      </c>
      <c r="F588" s="204" t="s">
        <v>25</v>
      </c>
      <c r="G588" s="204" t="s">
        <v>115</v>
      </c>
      <c r="H588" s="197" t="s">
        <v>27</v>
      </c>
      <c r="I588" s="201" t="s">
        <v>28</v>
      </c>
      <c r="J588" s="198">
        <v>1</v>
      </c>
      <c r="K588" s="197" t="s">
        <v>1300</v>
      </c>
      <c r="L588" s="197" t="s">
        <v>1301</v>
      </c>
      <c r="M588" s="203"/>
      <c r="N588" s="204" t="s">
        <v>30</v>
      </c>
      <c r="O588" s="198" t="s">
        <v>31</v>
      </c>
      <c r="P588" s="49">
        <v>515</v>
      </c>
      <c r="Q588" s="18" t="str">
        <f t="shared" si="8"/>
        <v>BM BB01 _ A _ Absorbance optique _ Quantitatif _ Automatisée _ 1 _ GEM 5000
(WERFEN)</v>
      </c>
      <c r="R588" s="4"/>
      <c r="S588" s="4"/>
      <c r="T588" s="4"/>
      <c r="U588" s="4"/>
    </row>
    <row r="589" spans="1:21" ht="51" x14ac:dyDescent="0.2">
      <c r="A589" s="14" t="s">
        <v>1297</v>
      </c>
      <c r="B589" s="19" t="s">
        <v>21</v>
      </c>
      <c r="C589" s="23" t="s">
        <v>22</v>
      </c>
      <c r="D589" s="23" t="s">
        <v>23</v>
      </c>
      <c r="E589" s="204" t="s">
        <v>117</v>
      </c>
      <c r="F589" s="204" t="s">
        <v>25</v>
      </c>
      <c r="G589" s="204" t="s">
        <v>115</v>
      </c>
      <c r="H589" s="197" t="s">
        <v>27</v>
      </c>
      <c r="I589" s="201" t="s">
        <v>28</v>
      </c>
      <c r="J589" s="198">
        <v>1</v>
      </c>
      <c r="K589" s="197" t="s">
        <v>1300</v>
      </c>
      <c r="L589" s="197" t="s">
        <v>1301</v>
      </c>
      <c r="M589" s="203"/>
      <c r="N589" s="204" t="s">
        <v>30</v>
      </c>
      <c r="O589" s="198" t="s">
        <v>31</v>
      </c>
      <c r="P589" s="49">
        <v>6</v>
      </c>
      <c r="Q589" s="18" t="str">
        <f t="shared" si="8"/>
        <v>BM BB01 _ A _ Absorbance optique _ Quantitatif _ Automatisée _ 1 _ GEM 5000
(WERFEN)</v>
      </c>
      <c r="R589" s="4"/>
      <c r="S589" s="4"/>
      <c r="T589" s="4"/>
      <c r="U589" s="4"/>
    </row>
    <row r="590" spans="1:21" ht="51" x14ac:dyDescent="0.2">
      <c r="A590" s="14" t="s">
        <v>1297</v>
      </c>
      <c r="B590" s="19" t="s">
        <v>21</v>
      </c>
      <c r="C590" s="23" t="s">
        <v>22</v>
      </c>
      <c r="D590" s="23" t="s">
        <v>23</v>
      </c>
      <c r="E590" s="204" t="s">
        <v>118</v>
      </c>
      <c r="F590" s="204" t="s">
        <v>25</v>
      </c>
      <c r="G590" s="204" t="s">
        <v>115</v>
      </c>
      <c r="H590" s="197" t="s">
        <v>27</v>
      </c>
      <c r="I590" s="201" t="s">
        <v>28</v>
      </c>
      <c r="J590" s="198">
        <v>1</v>
      </c>
      <c r="K590" s="197" t="s">
        <v>1300</v>
      </c>
      <c r="L590" s="197" t="s">
        <v>1301</v>
      </c>
      <c r="M590" s="203"/>
      <c r="N590" s="204" t="s">
        <v>30</v>
      </c>
      <c r="O590" s="198" t="s">
        <v>31</v>
      </c>
      <c r="P590" s="49">
        <v>515</v>
      </c>
      <c r="Q590" s="18" t="str">
        <f t="shared" si="8"/>
        <v>BM BB01 _ A _ Absorbance optique _ Quantitatif _ Automatisée _ 1 _ GEM 5000
(WERFEN)</v>
      </c>
      <c r="R590" s="4"/>
      <c r="S590" s="4"/>
      <c r="T590" s="4"/>
      <c r="U590" s="4"/>
    </row>
    <row r="591" spans="1:21" ht="51" x14ac:dyDescent="0.2">
      <c r="A591" s="14" t="s">
        <v>1297</v>
      </c>
      <c r="B591" s="14" t="s">
        <v>21</v>
      </c>
      <c r="C591" s="23" t="s">
        <v>22</v>
      </c>
      <c r="D591" s="23" t="s">
        <v>23</v>
      </c>
      <c r="E591" s="204" t="s">
        <v>119</v>
      </c>
      <c r="F591" s="204" t="s">
        <v>25</v>
      </c>
      <c r="G591" s="204" t="s">
        <v>115</v>
      </c>
      <c r="H591" s="197" t="s">
        <v>27</v>
      </c>
      <c r="I591" s="197" t="s">
        <v>28</v>
      </c>
      <c r="J591" s="198">
        <v>1</v>
      </c>
      <c r="K591" s="197" t="s">
        <v>1300</v>
      </c>
      <c r="L591" s="197" t="s">
        <v>1301</v>
      </c>
      <c r="M591" s="203"/>
      <c r="N591" s="204" t="s">
        <v>30</v>
      </c>
      <c r="O591" s="198" t="s">
        <v>31</v>
      </c>
      <c r="P591" s="49">
        <v>3</v>
      </c>
      <c r="Q591" s="18" t="str">
        <f t="shared" si="8"/>
        <v>BM BB01 _ A _ Absorbance optique _ Quantitatif _ Automatisée _ 1 _ GEM 5000
(WERFEN)</v>
      </c>
      <c r="R591" s="4"/>
      <c r="S591" s="4"/>
      <c r="T591" s="4"/>
      <c r="U591" s="4"/>
    </row>
    <row r="592" spans="1:21" ht="51" x14ac:dyDescent="0.2">
      <c r="A592" s="14" t="s">
        <v>1297</v>
      </c>
      <c r="B592" s="22" t="s">
        <v>120</v>
      </c>
      <c r="C592" s="22" t="s">
        <v>22</v>
      </c>
      <c r="D592" s="22" t="s">
        <v>121</v>
      </c>
      <c r="E592" s="230" t="s">
        <v>122</v>
      </c>
      <c r="F592" s="22" t="s">
        <v>123</v>
      </c>
      <c r="G592" s="22" t="s">
        <v>124</v>
      </c>
      <c r="H592" s="22" t="s">
        <v>27</v>
      </c>
      <c r="I592" s="22" t="s">
        <v>28</v>
      </c>
      <c r="J592" s="74">
        <v>1</v>
      </c>
      <c r="K592" s="129" t="s">
        <v>1509</v>
      </c>
      <c r="L592" s="129" t="s">
        <v>1510</v>
      </c>
      <c r="M592" s="129" t="s">
        <v>1522</v>
      </c>
      <c r="N592" s="135" t="s">
        <v>125</v>
      </c>
      <c r="O592" s="74" t="s">
        <v>31</v>
      </c>
      <c r="P592" s="85">
        <v>2732</v>
      </c>
      <c r="Q592" s="18" t="str">
        <f t="shared" ref="Q592:Q629" si="9">CONCATENATE(N592," _ ",O592," _ ",G592," _ ",H592," _ ",I592," _ ",J592," _ ",K592)</f>
        <v>BM CB02 _ A _ Chronométrique _ Quantitatif _ Automatisée _ 1 _ STA COMPACT MAX</v>
      </c>
      <c r="R592" s="4"/>
      <c r="S592" s="4"/>
      <c r="T592" s="4"/>
      <c r="U592" s="4"/>
    </row>
    <row r="593" spans="1:21" ht="51" x14ac:dyDescent="0.2">
      <c r="A593" s="14" t="s">
        <v>1297</v>
      </c>
      <c r="B593" s="19" t="s">
        <v>120</v>
      </c>
      <c r="C593" s="19" t="s">
        <v>22</v>
      </c>
      <c r="D593" s="25" t="s">
        <v>121</v>
      </c>
      <c r="E593" s="14" t="s">
        <v>126</v>
      </c>
      <c r="F593" s="22" t="s">
        <v>123</v>
      </c>
      <c r="G593" s="22" t="s">
        <v>127</v>
      </c>
      <c r="H593" s="22" t="s">
        <v>27</v>
      </c>
      <c r="I593" s="22" t="s">
        <v>28</v>
      </c>
      <c r="J593" s="74">
        <v>1</v>
      </c>
      <c r="K593" s="129" t="s">
        <v>1509</v>
      </c>
      <c r="L593" s="129" t="s">
        <v>1511</v>
      </c>
      <c r="M593" s="129" t="s">
        <v>1522</v>
      </c>
      <c r="N593" s="135" t="s">
        <v>125</v>
      </c>
      <c r="O593" s="74" t="s">
        <v>31</v>
      </c>
      <c r="P593" s="85">
        <v>2584</v>
      </c>
      <c r="Q593" s="18" t="str">
        <f t="shared" si="9"/>
        <v>BM CB02 _ A _ Chronométrie _ Quantitatif _ Automatisée _ 1 _ STA COMPACT MAX</v>
      </c>
      <c r="R593" s="286"/>
      <c r="S593" s="4"/>
      <c r="T593" s="4"/>
      <c r="U593" s="4"/>
    </row>
    <row r="594" spans="1:21" ht="51" x14ac:dyDescent="0.2">
      <c r="A594" s="14" t="s">
        <v>1297</v>
      </c>
      <c r="B594" s="19" t="s">
        <v>120</v>
      </c>
      <c r="C594" s="19" t="s">
        <v>22</v>
      </c>
      <c r="D594" s="25" t="s">
        <v>121</v>
      </c>
      <c r="E594" s="14" t="s">
        <v>128</v>
      </c>
      <c r="F594" s="22" t="s">
        <v>123</v>
      </c>
      <c r="G594" s="22" t="s">
        <v>127</v>
      </c>
      <c r="H594" s="22" t="s">
        <v>27</v>
      </c>
      <c r="I594" s="22" t="s">
        <v>28</v>
      </c>
      <c r="J594" s="74">
        <v>1</v>
      </c>
      <c r="K594" s="129" t="s">
        <v>1509</v>
      </c>
      <c r="L594" s="129" t="s">
        <v>1512</v>
      </c>
      <c r="M594" s="129" t="s">
        <v>1522</v>
      </c>
      <c r="N594" s="135" t="s">
        <v>125</v>
      </c>
      <c r="O594" s="74" t="s">
        <v>31</v>
      </c>
      <c r="P594" s="85">
        <v>94</v>
      </c>
      <c r="Q594" s="18" t="str">
        <f t="shared" si="9"/>
        <v>BM CB02 _ A _ Chronométrie _ Quantitatif _ Automatisée _ 1 _ STA COMPACT MAX</v>
      </c>
      <c r="R594" s="286"/>
      <c r="S594" s="4"/>
      <c r="T594" s="4"/>
      <c r="U594" s="4"/>
    </row>
    <row r="595" spans="1:21" ht="51" x14ac:dyDescent="0.2">
      <c r="A595" s="14" t="s">
        <v>1297</v>
      </c>
      <c r="B595" s="14" t="s">
        <v>120</v>
      </c>
      <c r="C595" s="14" t="s">
        <v>22</v>
      </c>
      <c r="D595" s="25" t="s">
        <v>121</v>
      </c>
      <c r="E595" s="14" t="s">
        <v>129</v>
      </c>
      <c r="F595" s="14" t="s">
        <v>123</v>
      </c>
      <c r="G595" s="14" t="s">
        <v>130</v>
      </c>
      <c r="H595" s="14" t="s">
        <v>27</v>
      </c>
      <c r="I595" s="14" t="s">
        <v>28</v>
      </c>
      <c r="J595" s="16">
        <v>1</v>
      </c>
      <c r="K595" s="14" t="s">
        <v>1302</v>
      </c>
      <c r="L595" s="14" t="s">
        <v>1513</v>
      </c>
      <c r="M595" s="17"/>
      <c r="N595" s="26" t="s">
        <v>125</v>
      </c>
      <c r="O595" s="16" t="s">
        <v>31</v>
      </c>
      <c r="P595" s="27">
        <v>275</v>
      </c>
      <c r="Q595" s="18" t="str">
        <f t="shared" si="9"/>
        <v xml:space="preserve">BM CB02 _ A _ Immunoenzymatique (ELFA) _ Quantitatif _ Automatisée _ 1 _ BIOMERIEUX
Vidas N° IVD3001447 (SJU)
</v>
      </c>
      <c r="R595" s="286"/>
      <c r="S595" s="4"/>
      <c r="T595" s="4"/>
      <c r="U595" s="4"/>
    </row>
    <row r="596" spans="1:21" ht="102" x14ac:dyDescent="0.2">
      <c r="A596" s="14" t="s">
        <v>1297</v>
      </c>
      <c r="B596" s="14" t="s">
        <v>120</v>
      </c>
      <c r="C596" s="14" t="s">
        <v>22</v>
      </c>
      <c r="D596" s="23" t="s">
        <v>131</v>
      </c>
      <c r="E596" s="14" t="s">
        <v>132</v>
      </c>
      <c r="F596" s="14" t="s">
        <v>25</v>
      </c>
      <c r="G596" s="14" t="s">
        <v>133</v>
      </c>
      <c r="H596" s="14" t="s">
        <v>27</v>
      </c>
      <c r="I596" s="14" t="s">
        <v>28</v>
      </c>
      <c r="J596" s="16">
        <v>1</v>
      </c>
      <c r="K596" s="14" t="s">
        <v>1303</v>
      </c>
      <c r="L596" s="14" t="s">
        <v>1502</v>
      </c>
      <c r="M596" s="17" t="s">
        <v>1521</v>
      </c>
      <c r="N596" s="26" t="s">
        <v>135</v>
      </c>
      <c r="O596" s="16" t="s">
        <v>31</v>
      </c>
      <c r="P596" s="91">
        <v>6457</v>
      </c>
      <c r="Q596" s="18" t="str">
        <f t="shared" si="9"/>
        <v>BM HB01 _ A _ Impédance en cytométrie à volume fixe calibré (référence : cellule de Malassez) _ Quantitatif _ Automatisée _ 1 _ SYSMEX XN 550 (SJU)</v>
      </c>
      <c r="R596" s="286"/>
      <c r="S596" s="4"/>
      <c r="T596" s="4"/>
      <c r="U596" s="4"/>
    </row>
    <row r="597" spans="1:21" ht="153" x14ac:dyDescent="0.2">
      <c r="A597" s="14" t="s">
        <v>1297</v>
      </c>
      <c r="B597" s="14" t="s">
        <v>120</v>
      </c>
      <c r="C597" s="14" t="s">
        <v>22</v>
      </c>
      <c r="D597" s="23" t="s">
        <v>131</v>
      </c>
      <c r="E597" s="14" t="s">
        <v>136</v>
      </c>
      <c r="F597" s="14" t="s">
        <v>25</v>
      </c>
      <c r="G597" s="14" t="s">
        <v>137</v>
      </c>
      <c r="H597" s="14" t="s">
        <v>27</v>
      </c>
      <c r="I597" s="14" t="s">
        <v>28</v>
      </c>
      <c r="J597" s="16">
        <v>1</v>
      </c>
      <c r="K597" s="14" t="s">
        <v>1303</v>
      </c>
      <c r="L597" s="14" t="s">
        <v>1502</v>
      </c>
      <c r="M597" s="17" t="s">
        <v>1521</v>
      </c>
      <c r="N597" s="26" t="s">
        <v>135</v>
      </c>
      <c r="O597" s="16" t="s">
        <v>31</v>
      </c>
      <c r="P597" s="42" t="s">
        <v>138</v>
      </c>
      <c r="Q597" s="18" t="str">
        <f t="shared" si="9"/>
        <v>BM HB01 _ A _ Le volume globulaire moyen est calculé à partir du taux d'hématocrite et de la numération des globules rouges sur sang total. _ Quantitatif _ Automatisée _ 1 _ SYSMEX XN 550 (SJU)</v>
      </c>
      <c r="R597" s="286"/>
      <c r="S597" s="4"/>
      <c r="T597" s="4"/>
      <c r="U597" s="4"/>
    </row>
    <row r="598" spans="1:21" ht="102" x14ac:dyDescent="0.2">
      <c r="A598" s="14" t="s">
        <v>1297</v>
      </c>
      <c r="B598" s="14" t="s">
        <v>120</v>
      </c>
      <c r="C598" s="14" t="s">
        <v>22</v>
      </c>
      <c r="D598" s="23" t="s">
        <v>131</v>
      </c>
      <c r="E598" s="14" t="s">
        <v>139</v>
      </c>
      <c r="F598" s="14" t="s">
        <v>25</v>
      </c>
      <c r="G598" s="14" t="s">
        <v>140</v>
      </c>
      <c r="H598" s="14" t="s">
        <v>27</v>
      </c>
      <c r="I598" s="14" t="s">
        <v>28</v>
      </c>
      <c r="J598" s="16">
        <v>1</v>
      </c>
      <c r="K598" s="14" t="s">
        <v>1303</v>
      </c>
      <c r="L598" s="14" t="s">
        <v>1502</v>
      </c>
      <c r="M598" s="17" t="s">
        <v>1521</v>
      </c>
      <c r="N598" s="26" t="s">
        <v>135</v>
      </c>
      <c r="O598" s="16" t="s">
        <v>31</v>
      </c>
      <c r="P598" s="42" t="s">
        <v>138</v>
      </c>
      <c r="Q598" s="18" t="str">
        <f t="shared" si="9"/>
        <v>BM HB01 _ A _ Diffraction optique en cytométrie de flux avec laser semi-conducteur et fluorescence. _ Quantitatif _ Automatisée _ 1 _ SYSMEX XN 550 (SJU)</v>
      </c>
      <c r="R598" s="286"/>
      <c r="S598" s="4"/>
      <c r="T598" s="4"/>
      <c r="U598" s="4"/>
    </row>
    <row r="599" spans="1:21" ht="216.75" x14ac:dyDescent="0.2">
      <c r="A599" s="14" t="s">
        <v>1297</v>
      </c>
      <c r="B599" s="14" t="s">
        <v>120</v>
      </c>
      <c r="C599" s="14" t="s">
        <v>22</v>
      </c>
      <c r="D599" s="23" t="s">
        <v>131</v>
      </c>
      <c r="E599" s="20" t="s">
        <v>142</v>
      </c>
      <c r="F599" s="14" t="s">
        <v>25</v>
      </c>
      <c r="G599" s="14" t="s">
        <v>143</v>
      </c>
      <c r="H599" s="14" t="s">
        <v>27</v>
      </c>
      <c r="I599" s="14" t="s">
        <v>28</v>
      </c>
      <c r="J599" s="16">
        <v>1</v>
      </c>
      <c r="K599" s="14" t="s">
        <v>1303</v>
      </c>
      <c r="L599" s="14" t="s">
        <v>1502</v>
      </c>
      <c r="M599" s="17" t="s">
        <v>1521</v>
      </c>
      <c r="N599" s="26" t="s">
        <v>135</v>
      </c>
      <c r="O599" s="16" t="s">
        <v>31</v>
      </c>
      <c r="P599" s="42" t="s">
        <v>138</v>
      </c>
      <c r="Q599" s="18" t="str">
        <f t="shared" si="9"/>
        <v>BM HB01 _ A _ Impédance en cytométrie à volume fixe calibré (référence : cellule de Malassez)
ou
Diffraction optique en cytométrie de flux avec laser semi-conducteur et fluorescence _ Quantitatif _ Automatisée _ 1 _ SYSMEX XN 550 (SJU)</v>
      </c>
      <c r="R599" s="286"/>
      <c r="S599" s="4"/>
      <c r="T599" s="4"/>
      <c r="U599" s="4"/>
    </row>
    <row r="600" spans="1:21" ht="102" x14ac:dyDescent="0.2">
      <c r="A600" s="14" t="s">
        <v>1297</v>
      </c>
      <c r="B600" s="14" t="s">
        <v>120</v>
      </c>
      <c r="C600" s="14" t="s">
        <v>22</v>
      </c>
      <c r="D600" s="23" t="s">
        <v>131</v>
      </c>
      <c r="E600" s="14" t="s">
        <v>145</v>
      </c>
      <c r="F600" s="14" t="s">
        <v>25</v>
      </c>
      <c r="G600" s="14" t="s">
        <v>140</v>
      </c>
      <c r="H600" s="14" t="s">
        <v>27</v>
      </c>
      <c r="I600" s="14" t="s">
        <v>28</v>
      </c>
      <c r="J600" s="16">
        <v>1</v>
      </c>
      <c r="K600" s="14" t="s">
        <v>1303</v>
      </c>
      <c r="L600" s="14" t="s">
        <v>1502</v>
      </c>
      <c r="M600" s="17" t="s">
        <v>1521</v>
      </c>
      <c r="N600" s="26" t="s">
        <v>135</v>
      </c>
      <c r="O600" s="16" t="s">
        <v>31</v>
      </c>
      <c r="P600" s="42" t="s">
        <v>138</v>
      </c>
      <c r="Q600" s="18" t="str">
        <f t="shared" si="9"/>
        <v>BM HB01 _ A _ Diffraction optique en cytométrie de flux avec laser semi-conducteur et fluorescence. _ Quantitatif _ Automatisée _ 1 _ SYSMEX XN 550 (SJU)</v>
      </c>
      <c r="R600" s="286"/>
      <c r="S600" s="4"/>
      <c r="T600" s="4"/>
      <c r="U600" s="4"/>
    </row>
    <row r="601" spans="1:21" ht="89.25" x14ac:dyDescent="0.2">
      <c r="A601" s="14" t="s">
        <v>1297</v>
      </c>
      <c r="B601" s="14" t="s">
        <v>120</v>
      </c>
      <c r="C601" s="14" t="s">
        <v>22</v>
      </c>
      <c r="D601" s="23" t="s">
        <v>131</v>
      </c>
      <c r="E601" s="14" t="s">
        <v>146</v>
      </c>
      <c r="F601" s="14" t="s">
        <v>25</v>
      </c>
      <c r="G601" s="14" t="s">
        <v>147</v>
      </c>
      <c r="H601" s="14" t="s">
        <v>27</v>
      </c>
      <c r="I601" s="14" t="s">
        <v>28</v>
      </c>
      <c r="J601" s="16">
        <v>1</v>
      </c>
      <c r="K601" s="14" t="s">
        <v>1303</v>
      </c>
      <c r="L601" s="14" t="s">
        <v>1502</v>
      </c>
      <c r="M601" s="17" t="s">
        <v>1521</v>
      </c>
      <c r="N601" s="26" t="s">
        <v>135</v>
      </c>
      <c r="O601" s="16" t="s">
        <v>31</v>
      </c>
      <c r="P601" s="42" t="s">
        <v>138</v>
      </c>
      <c r="Q601" s="18" t="str">
        <f t="shared" si="9"/>
        <v>BM HB01 _ A _ Variation de résistivité (Impédance) en cytométrie à volume fixe calibré _ Quantitatif _ Automatisée _ 1 _ SYSMEX XN 550 (SJU)</v>
      </c>
      <c r="R601" s="286"/>
    </row>
    <row r="602" spans="1:21" ht="102" x14ac:dyDescent="0.2">
      <c r="A602" s="14" t="s">
        <v>1297</v>
      </c>
      <c r="B602" s="14" t="s">
        <v>120</v>
      </c>
      <c r="C602" s="14" t="s">
        <v>22</v>
      </c>
      <c r="D602" s="23" t="s">
        <v>131</v>
      </c>
      <c r="E602" s="14" t="s">
        <v>148</v>
      </c>
      <c r="F602" s="14" t="s">
        <v>25</v>
      </c>
      <c r="G602" s="14" t="s">
        <v>140</v>
      </c>
      <c r="H602" s="14" t="s">
        <v>27</v>
      </c>
      <c r="I602" s="14" t="s">
        <v>28</v>
      </c>
      <c r="J602" s="16">
        <v>1</v>
      </c>
      <c r="K602" s="14" t="s">
        <v>1303</v>
      </c>
      <c r="L602" s="14" t="s">
        <v>1502</v>
      </c>
      <c r="M602" s="17" t="s">
        <v>1521</v>
      </c>
      <c r="N602" s="26" t="s">
        <v>135</v>
      </c>
      <c r="O602" s="16" t="s">
        <v>31</v>
      </c>
      <c r="P602" s="42" t="s">
        <v>138</v>
      </c>
      <c r="Q602" s="18" t="str">
        <f t="shared" si="9"/>
        <v>BM HB01 _ A _ Diffraction optique en cytométrie de flux avec laser semi-conducteur et fluorescence. _ Quantitatif _ Automatisée _ 1 _ SYSMEX XN 550 (SJU)</v>
      </c>
      <c r="R602" s="286"/>
    </row>
    <row r="603" spans="1:21" ht="76.5" x14ac:dyDescent="0.2">
      <c r="A603" s="14" t="s">
        <v>1297</v>
      </c>
      <c r="B603" s="14" t="s">
        <v>120</v>
      </c>
      <c r="C603" s="14" t="s">
        <v>22</v>
      </c>
      <c r="D603" s="23" t="s">
        <v>131</v>
      </c>
      <c r="E603" s="20" t="s">
        <v>149</v>
      </c>
      <c r="F603" s="14" t="s">
        <v>25</v>
      </c>
      <c r="G603" s="14" t="s">
        <v>150</v>
      </c>
      <c r="H603" s="14" t="s">
        <v>27</v>
      </c>
      <c r="I603" s="14" t="s">
        <v>28</v>
      </c>
      <c r="J603" s="16">
        <v>1</v>
      </c>
      <c r="K603" s="14" t="s">
        <v>1303</v>
      </c>
      <c r="L603" s="14" t="s">
        <v>1502</v>
      </c>
      <c r="M603" s="17" t="s">
        <v>1521</v>
      </c>
      <c r="N603" s="26" t="s">
        <v>135</v>
      </c>
      <c r="O603" s="16" t="s">
        <v>31</v>
      </c>
      <c r="P603" s="42" t="s">
        <v>138</v>
      </c>
      <c r="Q603" s="18" t="str">
        <f t="shared" si="9"/>
        <v>BM HB01 _ A _ Photométrie par une dilution dans une cuve spécifique _ Quantitatif _ Automatisée _ 1 _ SYSMEX XN 550 (SJU)</v>
      </c>
      <c r="R603" s="286"/>
    </row>
    <row r="604" spans="1:21" ht="63.75" x14ac:dyDescent="0.2">
      <c r="A604" s="14" t="s">
        <v>1297</v>
      </c>
      <c r="B604" s="14" t="s">
        <v>120</v>
      </c>
      <c r="C604" s="14" t="s">
        <v>22</v>
      </c>
      <c r="D604" s="23" t="s">
        <v>131</v>
      </c>
      <c r="E604" s="14" t="s">
        <v>151</v>
      </c>
      <c r="F604" s="14" t="s">
        <v>25</v>
      </c>
      <c r="G604" s="14" t="s">
        <v>152</v>
      </c>
      <c r="H604" s="14" t="s">
        <v>27</v>
      </c>
      <c r="I604" s="14" t="s">
        <v>28</v>
      </c>
      <c r="J604" s="16">
        <v>1</v>
      </c>
      <c r="K604" s="14" t="s">
        <v>1303</v>
      </c>
      <c r="L604" s="14" t="s">
        <v>1502</v>
      </c>
      <c r="M604" s="17" t="s">
        <v>1521</v>
      </c>
      <c r="N604" s="26" t="s">
        <v>135</v>
      </c>
      <c r="O604" s="16" t="s">
        <v>31</v>
      </c>
      <c r="P604" s="42" t="s">
        <v>138</v>
      </c>
      <c r="Q604" s="18" t="str">
        <f t="shared" si="9"/>
        <v>BM HB01 _ A _ Impédance en cytométrie à volume fixe calibré. _ Quantitatif _ Automatisée _ 1 _ SYSMEX XN 550 (SJU)</v>
      </c>
      <c r="R604" s="286"/>
    </row>
    <row r="605" spans="1:21" ht="63.75" x14ac:dyDescent="0.2">
      <c r="A605" s="14" t="s">
        <v>1297</v>
      </c>
      <c r="B605" s="14" t="s">
        <v>120</v>
      </c>
      <c r="C605" s="14" t="s">
        <v>22</v>
      </c>
      <c r="D605" s="23" t="s">
        <v>131</v>
      </c>
      <c r="E605" s="14" t="s">
        <v>153</v>
      </c>
      <c r="F605" s="14" t="s">
        <v>25</v>
      </c>
      <c r="G605" s="14" t="s">
        <v>152</v>
      </c>
      <c r="H605" s="14" t="s">
        <v>27</v>
      </c>
      <c r="I605" s="14" t="s">
        <v>28</v>
      </c>
      <c r="J605" s="16">
        <v>1</v>
      </c>
      <c r="K605" s="14" t="s">
        <v>1303</v>
      </c>
      <c r="L605" s="14" t="s">
        <v>1502</v>
      </c>
      <c r="M605" s="17" t="s">
        <v>1521</v>
      </c>
      <c r="N605" s="26" t="s">
        <v>135</v>
      </c>
      <c r="O605" s="16" t="s">
        <v>31</v>
      </c>
      <c r="P605" s="42" t="s">
        <v>138</v>
      </c>
      <c r="Q605" s="18" t="str">
        <f t="shared" si="9"/>
        <v>BM HB01 _ A _ Impédance en cytométrie à volume fixe calibré. _ Quantitatif _ Automatisée _ 1 _ SYSMEX XN 550 (SJU)</v>
      </c>
      <c r="R605" s="286"/>
    </row>
    <row r="606" spans="1:21" ht="27" customHeight="1" x14ac:dyDescent="0.2">
      <c r="A606" s="14" t="s">
        <v>1297</v>
      </c>
      <c r="B606" s="14" t="s">
        <v>120</v>
      </c>
      <c r="C606" s="14" t="s">
        <v>22</v>
      </c>
      <c r="D606" s="23" t="s">
        <v>131</v>
      </c>
      <c r="E606" s="14" t="s">
        <v>154</v>
      </c>
      <c r="F606" s="14" t="s">
        <v>25</v>
      </c>
      <c r="G606" s="14" t="s">
        <v>155</v>
      </c>
      <c r="H606" s="14" t="s">
        <v>27</v>
      </c>
      <c r="I606" s="14" t="s">
        <v>28</v>
      </c>
      <c r="J606" s="16">
        <v>1</v>
      </c>
      <c r="K606" s="14" t="s">
        <v>1303</v>
      </c>
      <c r="L606" s="14" t="s">
        <v>1502</v>
      </c>
      <c r="M606" s="17" t="s">
        <v>1521</v>
      </c>
      <c r="N606" s="26" t="s">
        <v>135</v>
      </c>
      <c r="O606" s="16" t="s">
        <v>31</v>
      </c>
      <c r="P606" s="42" t="s">
        <v>138</v>
      </c>
      <c r="Q606" s="18" t="str">
        <f t="shared" si="9"/>
        <v>BM HB01 _ A _ La CCMH est calculée à partir du taux d'hémoglobine et d'hématocrite.  _ Quantitatif _ Automatisée _ 1 _ SYSMEX XN 550 (SJU)</v>
      </c>
      <c r="R606" s="286"/>
    </row>
    <row r="607" spans="1:21" ht="30.75" customHeight="1" x14ac:dyDescent="0.2">
      <c r="A607" s="14" t="s">
        <v>1297</v>
      </c>
      <c r="B607" s="14" t="s">
        <v>120</v>
      </c>
      <c r="C607" s="14" t="s">
        <v>22</v>
      </c>
      <c r="D607" s="23" t="s">
        <v>131</v>
      </c>
      <c r="E607" s="14" t="s">
        <v>156</v>
      </c>
      <c r="F607" s="14" t="s">
        <v>25</v>
      </c>
      <c r="G607" s="14" t="s">
        <v>140</v>
      </c>
      <c r="H607" s="14" t="s">
        <v>27</v>
      </c>
      <c r="I607" s="14" t="s">
        <v>28</v>
      </c>
      <c r="J607" s="16">
        <v>1</v>
      </c>
      <c r="K607" s="14" t="s">
        <v>1303</v>
      </c>
      <c r="L607" s="14" t="s">
        <v>1502</v>
      </c>
      <c r="M607" s="17" t="s">
        <v>1521</v>
      </c>
      <c r="N607" s="26" t="s">
        <v>135</v>
      </c>
      <c r="O607" s="16" t="s">
        <v>31</v>
      </c>
      <c r="P607" s="42" t="s">
        <v>138</v>
      </c>
      <c r="Q607" s="18" t="str">
        <f t="shared" si="9"/>
        <v>BM HB01 _ A _ Diffraction optique en cytométrie de flux avec laser semi-conducteur et fluorescence. _ Quantitatif _ Automatisée _ 1 _ SYSMEX XN 550 (SJU)</v>
      </c>
      <c r="R607" s="286"/>
    </row>
    <row r="608" spans="1:21" ht="102" x14ac:dyDescent="0.2">
      <c r="A608" s="14" t="s">
        <v>1297</v>
      </c>
      <c r="B608" s="14" t="s">
        <v>120</v>
      </c>
      <c r="C608" s="14" t="s">
        <v>22</v>
      </c>
      <c r="D608" s="23" t="s">
        <v>131</v>
      </c>
      <c r="E608" s="14" t="s">
        <v>157</v>
      </c>
      <c r="F608" s="14" t="s">
        <v>25</v>
      </c>
      <c r="G608" s="14" t="s">
        <v>140</v>
      </c>
      <c r="H608" s="14" t="s">
        <v>27</v>
      </c>
      <c r="I608" s="14" t="s">
        <v>28</v>
      </c>
      <c r="J608" s="16">
        <v>1</v>
      </c>
      <c r="K608" s="14" t="s">
        <v>1303</v>
      </c>
      <c r="L608" s="14" t="s">
        <v>1502</v>
      </c>
      <c r="M608" s="17" t="s">
        <v>1521</v>
      </c>
      <c r="N608" s="26" t="s">
        <v>135</v>
      </c>
      <c r="O608" s="16" t="s">
        <v>31</v>
      </c>
      <c r="P608" s="42" t="s">
        <v>138</v>
      </c>
      <c r="Q608" s="18" t="str">
        <f t="shared" si="9"/>
        <v>BM HB01 _ A _ Diffraction optique en cytométrie de flux avec laser semi-conducteur et fluorescence. _ Quantitatif _ Automatisée _ 1 _ SYSMEX XN 550 (SJU)</v>
      </c>
      <c r="R608" s="286"/>
    </row>
    <row r="609" spans="1:18" ht="102" x14ac:dyDescent="0.2">
      <c r="A609" s="14" t="s">
        <v>1297</v>
      </c>
      <c r="B609" s="14" t="s">
        <v>120</v>
      </c>
      <c r="C609" s="14" t="s">
        <v>22</v>
      </c>
      <c r="D609" s="23" t="s">
        <v>131</v>
      </c>
      <c r="E609" s="20" t="s">
        <v>158</v>
      </c>
      <c r="F609" s="14" t="s">
        <v>25</v>
      </c>
      <c r="G609" s="14" t="s">
        <v>159</v>
      </c>
      <c r="H609" s="14" t="s">
        <v>27</v>
      </c>
      <c r="I609" s="14" t="s">
        <v>28</v>
      </c>
      <c r="J609" s="16">
        <v>1</v>
      </c>
      <c r="K609" s="14" t="s">
        <v>1303</v>
      </c>
      <c r="L609" s="14" t="s">
        <v>1502</v>
      </c>
      <c r="M609" s="17" t="s">
        <v>1521</v>
      </c>
      <c r="N609" s="26" t="s">
        <v>135</v>
      </c>
      <c r="O609" s="16" t="s">
        <v>31</v>
      </c>
      <c r="P609" s="42" t="s">
        <v>138</v>
      </c>
      <c r="Q609" s="18" t="str">
        <f t="shared" si="9"/>
        <v>BM HB01 _ A _ Diffraction optique (laser semi-conducteur) en cytométrie de flux et fluorescence. _ Quantitatif _ Automatisée _ 1 _ SYSMEX XN 550 (SJU)</v>
      </c>
      <c r="R609" s="286"/>
    </row>
    <row r="610" spans="1:18" ht="114.75" x14ac:dyDescent="0.2">
      <c r="A610" s="14" t="s">
        <v>1297</v>
      </c>
      <c r="B610" s="14" t="s">
        <v>120</v>
      </c>
      <c r="C610" s="14" t="s">
        <v>22</v>
      </c>
      <c r="D610" s="23" t="s">
        <v>131</v>
      </c>
      <c r="E610" s="14" t="s">
        <v>160</v>
      </c>
      <c r="F610" s="14" t="s">
        <v>25</v>
      </c>
      <c r="G610" s="14" t="s">
        <v>161</v>
      </c>
      <c r="H610" s="14" t="s">
        <v>27</v>
      </c>
      <c r="I610" s="14" t="s">
        <v>28</v>
      </c>
      <c r="J610" s="16">
        <v>1</v>
      </c>
      <c r="K610" s="14" t="s">
        <v>1303</v>
      </c>
      <c r="L610" s="14" t="s">
        <v>1502</v>
      </c>
      <c r="M610" s="17" t="s">
        <v>1521</v>
      </c>
      <c r="N610" s="26" t="s">
        <v>135</v>
      </c>
      <c r="O610" s="16" t="s">
        <v>31</v>
      </c>
      <c r="P610" s="42" t="s">
        <v>138</v>
      </c>
      <c r="Q610" s="18" t="str">
        <f t="shared" si="9"/>
        <v>BM HB01 _ A _ La TCMH est calculée à partir du taux d'hémoglobine et du nombre de globules rouges.  _ Quantitatif _ Automatisée _ 1 _ SYSMEX XN 550 (SJU)</v>
      </c>
      <c r="R610" s="286"/>
    </row>
    <row r="611" spans="1:18" ht="114.75" x14ac:dyDescent="0.2">
      <c r="A611" s="14" t="s">
        <v>1297</v>
      </c>
      <c r="B611" s="14" t="s">
        <v>120</v>
      </c>
      <c r="C611" s="14" t="s">
        <v>22</v>
      </c>
      <c r="D611" s="23" t="s">
        <v>131</v>
      </c>
      <c r="E611" s="14" t="s">
        <v>162</v>
      </c>
      <c r="F611" s="14" t="s">
        <v>25</v>
      </c>
      <c r="G611" s="14" t="s">
        <v>163</v>
      </c>
      <c r="H611" s="14" t="s">
        <v>27</v>
      </c>
      <c r="I611" s="14" t="s">
        <v>28</v>
      </c>
      <c r="J611" s="16">
        <v>1</v>
      </c>
      <c r="K611" s="14" t="s">
        <v>1303</v>
      </c>
      <c r="L611" s="14" t="s">
        <v>1502</v>
      </c>
      <c r="M611" s="17" t="s">
        <v>1521</v>
      </c>
      <c r="N611" s="26" t="s">
        <v>135</v>
      </c>
      <c r="O611" s="16" t="s">
        <v>31</v>
      </c>
      <c r="P611" s="42" t="s">
        <v>138</v>
      </c>
      <c r="Q611" s="18" t="str">
        <f t="shared" si="9"/>
        <v>BM HB01 _ A _ Impédance en cytométrie à volume fixe calibré (référence : cellule de Malassez)
 _ Quantitatif _ Automatisée _ 1 _ SYSMEX XN 550 (SJU)</v>
      </c>
      <c r="R611" s="286"/>
    </row>
    <row r="612" spans="1:18" ht="216.75" x14ac:dyDescent="0.2">
      <c r="A612" s="14" t="s">
        <v>1297</v>
      </c>
      <c r="B612" s="14" t="s">
        <v>120</v>
      </c>
      <c r="C612" s="14" t="s">
        <v>22</v>
      </c>
      <c r="D612" s="23" t="s">
        <v>131</v>
      </c>
      <c r="E612" s="14" t="s">
        <v>164</v>
      </c>
      <c r="F612" s="14" t="s">
        <v>25</v>
      </c>
      <c r="G612" s="14" t="s">
        <v>143</v>
      </c>
      <c r="H612" s="14" t="s">
        <v>27</v>
      </c>
      <c r="I612" s="14" t="s">
        <v>28</v>
      </c>
      <c r="J612" s="16">
        <v>1</v>
      </c>
      <c r="K612" s="14" t="s">
        <v>1303</v>
      </c>
      <c r="L612" s="14" t="s">
        <v>1502</v>
      </c>
      <c r="M612" s="17"/>
      <c r="N612" s="26" t="s">
        <v>135</v>
      </c>
      <c r="O612" s="16" t="s">
        <v>31</v>
      </c>
      <c r="P612" s="91">
        <v>7</v>
      </c>
      <c r="Q612" s="18" t="str">
        <f t="shared" si="9"/>
        <v>BM HB01 _ A _ Impédance en cytométrie à volume fixe calibré (référence : cellule de Malassez)
ou
Diffraction optique en cytométrie de flux avec laser semi-conducteur et fluorescence _ Quantitatif _ Automatisée _ 1 _ SYSMEX XN 550 (SJU)</v>
      </c>
      <c r="R612" s="286"/>
    </row>
    <row r="613" spans="1:18" ht="38.25" x14ac:dyDescent="0.2">
      <c r="A613" s="14" t="s">
        <v>1297</v>
      </c>
      <c r="B613" s="14" t="s">
        <v>120</v>
      </c>
      <c r="C613" s="14" t="s">
        <v>22</v>
      </c>
      <c r="D613" s="23" t="s">
        <v>131</v>
      </c>
      <c r="E613" s="14" t="s">
        <v>165</v>
      </c>
      <c r="F613" s="14" t="s">
        <v>25</v>
      </c>
      <c r="G613" s="14" t="s">
        <v>166</v>
      </c>
      <c r="H613" s="14" t="s">
        <v>27</v>
      </c>
      <c r="I613" s="14" t="s">
        <v>28</v>
      </c>
      <c r="J613" s="16">
        <v>1</v>
      </c>
      <c r="K613" s="14" t="s">
        <v>1303</v>
      </c>
      <c r="L613" s="14" t="s">
        <v>1502</v>
      </c>
      <c r="M613" s="17"/>
      <c r="N613" s="26" t="s">
        <v>135</v>
      </c>
      <c r="O613" s="16" t="s">
        <v>31</v>
      </c>
      <c r="P613" s="42" t="s">
        <v>138</v>
      </c>
      <c r="Q613" s="18" t="str">
        <f t="shared" si="9"/>
        <v>BM HB01 _ A _ Méthode de détection par l’optique _ Quantitatif _ Automatisée _ 1 _ SYSMEX XN 550 (SJU)</v>
      </c>
      <c r="R613" s="286"/>
    </row>
    <row r="614" spans="1:18" ht="76.5" x14ac:dyDescent="0.2">
      <c r="A614" s="14" t="s">
        <v>1297</v>
      </c>
      <c r="B614" s="14" t="s">
        <v>120</v>
      </c>
      <c r="C614" s="14" t="s">
        <v>22</v>
      </c>
      <c r="D614" s="23" t="s">
        <v>131</v>
      </c>
      <c r="E614" s="14" t="s">
        <v>168</v>
      </c>
      <c r="F614" s="14" t="s">
        <v>25</v>
      </c>
      <c r="G614" s="14" t="s">
        <v>169</v>
      </c>
      <c r="H614" s="14" t="s">
        <v>170</v>
      </c>
      <c r="I614" s="14" t="s">
        <v>171</v>
      </c>
      <c r="J614" s="16"/>
      <c r="K614" s="14"/>
      <c r="L614" s="14" t="s">
        <v>175</v>
      </c>
      <c r="M614" s="17"/>
      <c r="N614" s="26" t="s">
        <v>135</v>
      </c>
      <c r="O614" s="16" t="s">
        <v>31</v>
      </c>
      <c r="P614" s="27">
        <v>208</v>
      </c>
      <c r="Q614" s="18" t="str">
        <f t="shared" si="9"/>
        <v xml:space="preserve">BM HB01 _ A _ Etude de la morphologie des hématies sur frottis sanguin au microscope. _ Qualitatif _ Manuelle _  _ </v>
      </c>
      <c r="R614" s="286"/>
    </row>
    <row r="615" spans="1:18" ht="38.25" x14ac:dyDescent="0.2">
      <c r="A615" s="14" t="s">
        <v>1297</v>
      </c>
      <c r="B615" s="14" t="s">
        <v>120</v>
      </c>
      <c r="C615" s="14" t="s">
        <v>22</v>
      </c>
      <c r="D615" s="23" t="s">
        <v>131</v>
      </c>
      <c r="E615" s="20" t="s">
        <v>173</v>
      </c>
      <c r="F615" s="14" t="s">
        <v>25</v>
      </c>
      <c r="G615" s="14" t="s">
        <v>174</v>
      </c>
      <c r="H615" s="14" t="s">
        <v>170</v>
      </c>
      <c r="I615" s="14" t="s">
        <v>171</v>
      </c>
      <c r="J615" s="16"/>
      <c r="K615" s="14"/>
      <c r="L615" s="14" t="s">
        <v>175</v>
      </c>
      <c r="M615" s="17" t="s">
        <v>1521</v>
      </c>
      <c r="N615" s="26" t="s">
        <v>135</v>
      </c>
      <c r="O615" s="16" t="s">
        <v>31</v>
      </c>
      <c r="P615" s="42" t="s">
        <v>138</v>
      </c>
      <c r="Q615" s="18" t="str">
        <f t="shared" si="9"/>
        <v xml:space="preserve">BM HB01 _ A _ Microscopie optique _ Qualitatif _ Manuelle _  _ </v>
      </c>
      <c r="R615" s="286"/>
    </row>
    <row r="616" spans="1:18" ht="102" x14ac:dyDescent="0.2">
      <c r="A616" s="14" t="s">
        <v>1297</v>
      </c>
      <c r="B616" s="19" t="s">
        <v>120</v>
      </c>
      <c r="C616" s="22" t="s">
        <v>22</v>
      </c>
      <c r="D616" s="15" t="s">
        <v>131</v>
      </c>
      <c r="E616" s="22" t="s">
        <v>1071</v>
      </c>
      <c r="F616" s="22" t="s">
        <v>25</v>
      </c>
      <c r="G616" s="22" t="s">
        <v>1304</v>
      </c>
      <c r="H616" s="22" t="s">
        <v>27</v>
      </c>
      <c r="I616" s="22" t="s">
        <v>28</v>
      </c>
      <c r="J616" s="74">
        <v>1</v>
      </c>
      <c r="K616" s="22" t="s">
        <v>1305</v>
      </c>
      <c r="L616" s="14" t="s">
        <v>1533</v>
      </c>
      <c r="M616" s="17"/>
      <c r="N616" s="135" t="s">
        <v>135</v>
      </c>
      <c r="O616" s="74" t="s">
        <v>31</v>
      </c>
      <c r="P616" s="42" t="s">
        <v>1077</v>
      </c>
      <c r="Q616" s="18" t="str">
        <f t="shared" si="9"/>
        <v xml:space="preserve">BM HB01 _ A _ Diffraction optique en cytométrie de flux avec laser semi-conducteur et fluorescence _ Quantitatif _ Automatisée _ 1 _ SYSMEX XN 550 </v>
      </c>
      <c r="R616" s="286"/>
    </row>
    <row r="617" spans="1:18" ht="173.25" x14ac:dyDescent="0.2">
      <c r="A617" s="14" t="s">
        <v>20</v>
      </c>
      <c r="B617" s="252" t="s">
        <v>1616</v>
      </c>
      <c r="C617" s="14" t="s">
        <v>22</v>
      </c>
      <c r="D617" s="150" t="s">
        <v>94</v>
      </c>
      <c r="E617" s="150" t="s">
        <v>94</v>
      </c>
      <c r="F617" s="253" t="s">
        <v>25</v>
      </c>
      <c r="G617" s="408" t="s">
        <v>1589</v>
      </c>
      <c r="H617" s="409"/>
      <c r="I617" s="409"/>
      <c r="J617" s="409"/>
      <c r="K617" s="410"/>
      <c r="L617" s="254" t="s">
        <v>1600</v>
      </c>
      <c r="M617" s="152" t="s">
        <v>1608</v>
      </c>
      <c r="N617" s="172" t="s">
        <v>1607</v>
      </c>
      <c r="O617" s="150" t="s">
        <v>94</v>
      </c>
      <c r="P617" s="150" t="s">
        <v>94</v>
      </c>
      <c r="Q617" s="18" t="str">
        <f t="shared" si="9"/>
        <v xml:space="preserve">BM PP01 _ NA _ Prélèvement par ponction veineuse directe _  _  _  _ </v>
      </c>
      <c r="R617" s="286"/>
    </row>
    <row r="618" spans="1:18" ht="63.75" x14ac:dyDescent="0.2">
      <c r="A618" s="14" t="s">
        <v>20</v>
      </c>
      <c r="B618" s="252" t="s">
        <v>1581</v>
      </c>
      <c r="C618" s="14" t="s">
        <v>22</v>
      </c>
      <c r="D618" s="150" t="s">
        <v>94</v>
      </c>
      <c r="E618" s="150" t="s">
        <v>94</v>
      </c>
      <c r="F618" s="253" t="s">
        <v>25</v>
      </c>
      <c r="G618" s="408" t="s">
        <v>1590</v>
      </c>
      <c r="H618" s="409"/>
      <c r="I618" s="409"/>
      <c r="J618" s="409"/>
      <c r="K618" s="410"/>
      <c r="L618" s="255" t="s">
        <v>1601</v>
      </c>
      <c r="M618" s="152" t="s">
        <v>1608</v>
      </c>
      <c r="N618" s="172" t="s">
        <v>1607</v>
      </c>
      <c r="O618" s="150" t="s">
        <v>94</v>
      </c>
      <c r="P618" s="150" t="s">
        <v>94</v>
      </c>
      <c r="Q618" s="18" t="str">
        <f t="shared" si="9"/>
        <v xml:space="preserve">BM PP01 _ NA _ Prélèvement par ponction artérielle _  _  _  _ </v>
      </c>
      <c r="R618" s="286"/>
    </row>
    <row r="619" spans="1:18" ht="63" x14ac:dyDescent="0.2">
      <c r="A619" s="14" t="s">
        <v>20</v>
      </c>
      <c r="B619" s="252" t="s">
        <v>1581</v>
      </c>
      <c r="C619" s="14" t="s">
        <v>22</v>
      </c>
      <c r="D619" s="150" t="s">
        <v>94</v>
      </c>
      <c r="E619" s="150" t="s">
        <v>94</v>
      </c>
      <c r="F619" s="253" t="s">
        <v>253</v>
      </c>
      <c r="G619" s="408" t="s">
        <v>1599</v>
      </c>
      <c r="H619" s="409"/>
      <c r="I619" s="409"/>
      <c r="J619" s="409"/>
      <c r="K619" s="410"/>
      <c r="L619" s="254" t="s">
        <v>1602</v>
      </c>
      <c r="M619" s="152" t="s">
        <v>1608</v>
      </c>
      <c r="N619" s="172" t="s">
        <v>1607</v>
      </c>
      <c r="O619" s="150" t="s">
        <v>94</v>
      </c>
      <c r="P619" s="150" t="s">
        <v>94</v>
      </c>
      <c r="Q619" s="18" t="str">
        <f t="shared" si="9"/>
        <v xml:space="preserve">BM PP01 _ NA _ Prélèvement par pose d’une poche pédiatrique _  _  _  _ </v>
      </c>
      <c r="R619" s="286"/>
    </row>
    <row r="620" spans="1:18" ht="306" x14ac:dyDescent="0.2">
      <c r="A620" s="14" t="s">
        <v>20</v>
      </c>
      <c r="B620" s="252" t="s">
        <v>1614</v>
      </c>
      <c r="C620" s="14" t="s">
        <v>22</v>
      </c>
      <c r="D620" s="150" t="s">
        <v>94</v>
      </c>
      <c r="E620" s="150" t="s">
        <v>94</v>
      </c>
      <c r="F620" s="253" t="s">
        <v>253</v>
      </c>
      <c r="G620" s="408" t="s">
        <v>1591</v>
      </c>
      <c r="H620" s="409"/>
      <c r="I620" s="409"/>
      <c r="J620" s="409"/>
      <c r="K620" s="410"/>
      <c r="L620" s="254" t="s">
        <v>1603</v>
      </c>
      <c r="M620" s="152" t="s">
        <v>1608</v>
      </c>
      <c r="N620" s="172" t="s">
        <v>1607</v>
      </c>
      <c r="O620" s="150" t="s">
        <v>94</v>
      </c>
      <c r="P620" s="150" t="s">
        <v>94</v>
      </c>
      <c r="Q620" s="18" t="str">
        <f t="shared" si="9"/>
        <v xml:space="preserve">BM PP01 _ NA _ Recueil des urines
Prélèvement par recueil sur le site de prélèvement de poche. _  _  _  _ </v>
      </c>
      <c r="R620" s="286"/>
    </row>
    <row r="621" spans="1:18" ht="63" x14ac:dyDescent="0.2">
      <c r="A621" s="14" t="s">
        <v>20</v>
      </c>
      <c r="B621" s="252" t="s">
        <v>1581</v>
      </c>
      <c r="C621" s="14" t="s">
        <v>22</v>
      </c>
      <c r="D621" s="150" t="s">
        <v>94</v>
      </c>
      <c r="E621" s="150" t="s">
        <v>94</v>
      </c>
      <c r="F621" s="253" t="s">
        <v>288</v>
      </c>
      <c r="G621" s="408" t="s">
        <v>1592</v>
      </c>
      <c r="H621" s="409"/>
      <c r="I621" s="409"/>
      <c r="J621" s="409"/>
      <c r="K621" s="410"/>
      <c r="L621" s="254" t="s">
        <v>1610</v>
      </c>
      <c r="M621" s="152" t="s">
        <v>1608</v>
      </c>
      <c r="N621" s="172" t="s">
        <v>1607</v>
      </c>
      <c r="O621" s="150" t="s">
        <v>94</v>
      </c>
      <c r="P621" s="150" t="s">
        <v>94</v>
      </c>
      <c r="Q621" s="18" t="str">
        <f t="shared" si="9"/>
        <v xml:space="preserve">BM PP01 _ NA _ Ecouvillonnage
Recueil salivaire sur buvard _  _  _  _ </v>
      </c>
      <c r="R621" s="286"/>
    </row>
    <row r="622" spans="1:18" ht="47.25" x14ac:dyDescent="0.2">
      <c r="A622" s="14" t="s">
        <v>20</v>
      </c>
      <c r="B622" s="252" t="s">
        <v>1582</v>
      </c>
      <c r="C622" s="14" t="s">
        <v>22</v>
      </c>
      <c r="D622" s="150" t="s">
        <v>94</v>
      </c>
      <c r="E622" s="150" t="s">
        <v>94</v>
      </c>
      <c r="F622" s="253" t="s">
        <v>1584</v>
      </c>
      <c r="G622" s="408" t="s">
        <v>1611</v>
      </c>
      <c r="H622" s="409"/>
      <c r="I622" s="409"/>
      <c r="J622" s="409"/>
      <c r="K622" s="410"/>
      <c r="L622" s="254" t="s">
        <v>1610</v>
      </c>
      <c r="M622" s="152" t="s">
        <v>1608</v>
      </c>
      <c r="N622" s="172" t="s">
        <v>1607</v>
      </c>
      <c r="O622" s="150" t="s">
        <v>94</v>
      </c>
      <c r="P622" s="150" t="s">
        <v>94</v>
      </c>
      <c r="Q622" s="18" t="str">
        <f t="shared" si="9"/>
        <v xml:space="preserve">BM PP01 _ NA _ Recueil du crachat _  _  _  _ </v>
      </c>
      <c r="R622" s="286"/>
    </row>
    <row r="623" spans="1:18" ht="127.5" x14ac:dyDescent="0.2">
      <c r="A623" s="14" t="s">
        <v>20</v>
      </c>
      <c r="B623" s="252" t="s">
        <v>1581</v>
      </c>
      <c r="C623" s="14" t="s">
        <v>22</v>
      </c>
      <c r="D623" s="150" t="s">
        <v>94</v>
      </c>
      <c r="E623" s="150" t="s">
        <v>94</v>
      </c>
      <c r="F623" s="253" t="s">
        <v>928</v>
      </c>
      <c r="G623" s="408" t="s">
        <v>1593</v>
      </c>
      <c r="H623" s="409"/>
      <c r="I623" s="409"/>
      <c r="J623" s="409"/>
      <c r="K623" s="410"/>
      <c r="L623" s="254" t="s">
        <v>1604</v>
      </c>
      <c r="M623" s="152" t="s">
        <v>1608</v>
      </c>
      <c r="N623" s="172" t="s">
        <v>1607</v>
      </c>
      <c r="O623" s="150" t="s">
        <v>94</v>
      </c>
      <c r="P623" s="150" t="s">
        <v>94</v>
      </c>
      <c r="Q623" s="18" t="str">
        <f t="shared" si="9"/>
        <v xml:space="preserve">BM PP01 _ NA _ Recueil des selles _  _  _  _ </v>
      </c>
      <c r="R623" s="286"/>
    </row>
    <row r="624" spans="1:18" ht="127.5" x14ac:dyDescent="0.2">
      <c r="A624" s="14" t="s">
        <v>20</v>
      </c>
      <c r="B624" s="252" t="s">
        <v>1614</v>
      </c>
      <c r="C624" s="14" t="s">
        <v>22</v>
      </c>
      <c r="D624" s="150" t="s">
        <v>94</v>
      </c>
      <c r="E624" s="150" t="s">
        <v>94</v>
      </c>
      <c r="F624" s="254" t="s">
        <v>1612</v>
      </c>
      <c r="G624" s="408" t="s">
        <v>1594</v>
      </c>
      <c r="H624" s="409"/>
      <c r="I624" s="409"/>
      <c r="J624" s="409"/>
      <c r="K624" s="410"/>
      <c r="L624" s="254" t="s">
        <v>1604</v>
      </c>
      <c r="M624" s="152" t="s">
        <v>1608</v>
      </c>
      <c r="N624" s="172" t="s">
        <v>1607</v>
      </c>
      <c r="O624" s="150" t="s">
        <v>94</v>
      </c>
      <c r="P624" s="150" t="s">
        <v>94</v>
      </c>
      <c r="Q624" s="18" t="str">
        <f t="shared" si="9"/>
        <v xml:space="preserve">BM PP01 _ NA _ Ecouvillonnage pour examens microbiologiques _  _  _  _ </v>
      </c>
      <c r="R624" s="286"/>
    </row>
    <row r="625" spans="1:18" ht="63.75" x14ac:dyDescent="0.2">
      <c r="A625" s="23" t="s">
        <v>20</v>
      </c>
      <c r="B625" s="23" t="s">
        <v>1615</v>
      </c>
      <c r="C625" s="23" t="s">
        <v>22</v>
      </c>
      <c r="D625" s="23" t="s">
        <v>94</v>
      </c>
      <c r="E625" s="23" t="s">
        <v>94</v>
      </c>
      <c r="F625" s="23" t="s">
        <v>1585</v>
      </c>
      <c r="G625" s="408" t="s">
        <v>1595</v>
      </c>
      <c r="H625" s="409"/>
      <c r="I625" s="409"/>
      <c r="J625" s="409"/>
      <c r="K625" s="410"/>
      <c r="L625" s="23" t="s">
        <v>1605</v>
      </c>
      <c r="M625" s="23" t="s">
        <v>1608</v>
      </c>
      <c r="N625" s="172" t="s">
        <v>1607</v>
      </c>
      <c r="O625" s="150" t="s">
        <v>94</v>
      </c>
      <c r="P625" s="150" t="s">
        <v>94</v>
      </c>
      <c r="Q625" s="18" t="str">
        <f t="shared" si="9"/>
        <v xml:space="preserve">BM PP01 _ NA _ Recueil de sperme _  _  _  _ </v>
      </c>
      <c r="R625" s="286"/>
    </row>
    <row r="626" spans="1:18" ht="127.5" x14ac:dyDescent="0.2">
      <c r="A626" s="23" t="s">
        <v>20</v>
      </c>
      <c r="B626" s="23" t="s">
        <v>1615</v>
      </c>
      <c r="C626" s="23" t="s">
        <v>22</v>
      </c>
      <c r="D626" s="23" t="s">
        <v>94</v>
      </c>
      <c r="E626" s="23" t="s">
        <v>94</v>
      </c>
      <c r="F626" s="23" t="s">
        <v>1613</v>
      </c>
      <c r="G626" s="408" t="s">
        <v>1596</v>
      </c>
      <c r="H626" s="409"/>
      <c r="I626" s="409"/>
      <c r="J626" s="409"/>
      <c r="K626" s="410"/>
      <c r="L626" s="23" t="s">
        <v>1604</v>
      </c>
      <c r="M626" s="23" t="s">
        <v>1608</v>
      </c>
      <c r="N626" s="172" t="s">
        <v>1607</v>
      </c>
      <c r="O626" s="150" t="s">
        <v>94</v>
      </c>
      <c r="P626" s="150" t="s">
        <v>94</v>
      </c>
      <c r="Q626" s="18" t="str">
        <f t="shared" si="9"/>
        <v xml:space="preserve">BM PP01 _ NA _ Frottis cervico-vaginal _  _  _  _ </v>
      </c>
      <c r="R626" s="286"/>
    </row>
    <row r="627" spans="1:18" ht="127.5" x14ac:dyDescent="0.2">
      <c r="A627" s="14" t="s">
        <v>20</v>
      </c>
      <c r="B627" s="252" t="s">
        <v>1581</v>
      </c>
      <c r="C627" s="14" t="s">
        <v>22</v>
      </c>
      <c r="D627" s="150" t="s">
        <v>94</v>
      </c>
      <c r="E627" s="150" t="s">
        <v>94</v>
      </c>
      <c r="F627" s="254" t="s">
        <v>1586</v>
      </c>
      <c r="G627" s="408" t="s">
        <v>1594</v>
      </c>
      <c r="H627" s="409"/>
      <c r="I627" s="409"/>
      <c r="J627" s="409"/>
      <c r="K627" s="410"/>
      <c r="L627" s="254" t="s">
        <v>1604</v>
      </c>
      <c r="M627" s="152" t="s">
        <v>1608</v>
      </c>
      <c r="N627" s="172" t="s">
        <v>1607</v>
      </c>
      <c r="O627" s="150" t="s">
        <v>94</v>
      </c>
      <c r="P627" s="150" t="s">
        <v>94</v>
      </c>
      <c r="Q627" s="18" t="str">
        <f t="shared" si="9"/>
        <v xml:space="preserve">BM PP01 _ NA _ Ecouvillonnage pour examens microbiologiques _  _  _  _ </v>
      </c>
      <c r="R627" s="286"/>
    </row>
    <row r="628" spans="1:18" ht="75" customHeight="1" x14ac:dyDescent="0.2">
      <c r="A628" s="14" t="s">
        <v>20</v>
      </c>
      <c r="B628" s="252" t="s">
        <v>1581</v>
      </c>
      <c r="C628" s="14" t="s">
        <v>22</v>
      </c>
      <c r="D628" s="150" t="s">
        <v>94</v>
      </c>
      <c r="E628" s="150" t="s">
        <v>94</v>
      </c>
      <c r="F628" s="254" t="s">
        <v>1587</v>
      </c>
      <c r="G628" s="408" t="s">
        <v>1597</v>
      </c>
      <c r="H628" s="409"/>
      <c r="I628" s="409"/>
      <c r="J628" s="409"/>
      <c r="K628" s="410"/>
      <c r="L628" s="255" t="s">
        <v>1609</v>
      </c>
      <c r="M628" s="152" t="s">
        <v>1608</v>
      </c>
      <c r="N628" s="172" t="s">
        <v>1607</v>
      </c>
      <c r="O628" s="150" t="s">
        <v>94</v>
      </c>
      <c r="P628" s="150" t="s">
        <v>94</v>
      </c>
      <c r="Q628" s="18" t="str">
        <f t="shared" si="9"/>
        <v xml:space="preserve">BM PP01 _ NA _ Prélèvement cutané pour examens microbiologiques
Prélèvement des phanères pour examens microbiologiques _  _  _  _ </v>
      </c>
      <c r="R628" s="286"/>
    </row>
    <row r="629" spans="1:18" ht="94.5" x14ac:dyDescent="0.2">
      <c r="A629" s="14" t="s">
        <v>20</v>
      </c>
      <c r="B629" s="252" t="s">
        <v>1583</v>
      </c>
      <c r="C629" s="14" t="s">
        <v>22</v>
      </c>
      <c r="D629" s="150" t="s">
        <v>94</v>
      </c>
      <c r="E629" s="150" t="s">
        <v>94</v>
      </c>
      <c r="F629" s="253" t="s">
        <v>1588</v>
      </c>
      <c r="G629" s="408" t="s">
        <v>1598</v>
      </c>
      <c r="H629" s="409"/>
      <c r="I629" s="409"/>
      <c r="J629" s="409"/>
      <c r="K629" s="410"/>
      <c r="L629" s="254" t="s">
        <v>1606</v>
      </c>
      <c r="M629" s="152" t="s">
        <v>1608</v>
      </c>
      <c r="N629" s="172" t="s">
        <v>1607</v>
      </c>
      <c r="O629" s="150" t="s">
        <v>94</v>
      </c>
      <c r="P629" s="150" t="s">
        <v>94</v>
      </c>
      <c r="Q629" s="18" t="str">
        <f t="shared" si="9"/>
        <v xml:space="preserve">BM PP01 _ NA _ Ponction sternale ou iliaque _  _  _  _ </v>
      </c>
      <c r="R629" s="286"/>
    </row>
    <row r="630" spans="1:18" ht="15.75" x14ac:dyDescent="0.2">
      <c r="A630" s="22"/>
      <c r="B630" s="308"/>
      <c r="C630" s="22"/>
      <c r="D630" s="309"/>
      <c r="E630" s="309"/>
      <c r="F630" s="310"/>
      <c r="G630" s="411"/>
      <c r="H630" s="412"/>
      <c r="I630" s="412"/>
      <c r="J630" s="412"/>
      <c r="K630" s="413"/>
      <c r="L630" s="310"/>
      <c r="M630" s="311"/>
      <c r="N630" s="312"/>
      <c r="O630" s="309"/>
      <c r="P630" s="309"/>
      <c r="Q630" s="18" t="str">
        <f t="shared" ref="Q630:Q631" si="10">CONCATENATE(N630," _ ",O630," _ ",G630," _ ",H630," _ ",I630," _ ",J630," _ ",K630)</f>
        <v xml:space="preserve"> _  _  _  _  _  _ </v>
      </c>
      <c r="R630" s="286"/>
    </row>
    <row r="631" spans="1:18" ht="63" customHeight="1" x14ac:dyDescent="0.2">
      <c r="A631" s="22"/>
      <c r="B631" s="308"/>
      <c r="C631" s="22"/>
      <c r="D631" s="309"/>
      <c r="E631" s="309"/>
      <c r="F631" s="313"/>
      <c r="G631" s="411"/>
      <c r="H631" s="412"/>
      <c r="I631" s="412"/>
      <c r="J631" s="412"/>
      <c r="K631" s="413"/>
      <c r="L631" s="310"/>
      <c r="M631" s="311"/>
      <c r="N631" s="312"/>
      <c r="O631" s="309"/>
      <c r="P631" s="309"/>
      <c r="Q631" s="18" t="str">
        <f t="shared" si="10"/>
        <v xml:space="preserve"> _  _  _  _  _  _ </v>
      </c>
      <c r="R631" s="286"/>
    </row>
    <row r="632" spans="1:18" x14ac:dyDescent="0.2">
      <c r="A632" s="14"/>
      <c r="B632" s="30"/>
      <c r="C632" s="19"/>
      <c r="D632" s="15"/>
      <c r="E632" s="314"/>
      <c r="F632" s="137"/>
      <c r="G632" s="137"/>
      <c r="H632" s="137"/>
      <c r="I632" s="137"/>
      <c r="J632" s="138"/>
      <c r="K632" s="137"/>
      <c r="L632" s="137"/>
      <c r="M632" s="315"/>
      <c r="N632" s="316" t="s">
        <v>1306</v>
      </c>
      <c r="O632" s="316"/>
      <c r="P632" s="141">
        <f>SUM(P15:P618)</f>
        <v>6057963</v>
      </c>
      <c r="Q632" s="18"/>
      <c r="R632" s="286"/>
    </row>
    <row r="633" spans="1:18" x14ac:dyDescent="0.2">
      <c r="A633" s="14"/>
      <c r="B633" s="30"/>
      <c r="C633" s="19"/>
      <c r="D633" s="15"/>
      <c r="E633" s="314"/>
      <c r="F633" s="315"/>
      <c r="G633" s="315"/>
      <c r="H633" s="315"/>
      <c r="I633" s="315"/>
      <c r="J633" s="317"/>
      <c r="K633" s="315"/>
      <c r="L633" s="315"/>
      <c r="M633" s="317"/>
      <c r="N633" s="315"/>
      <c r="O633" s="315"/>
      <c r="P633" s="318"/>
      <c r="Q633" s="18"/>
      <c r="R633" s="286"/>
    </row>
    <row r="634" spans="1:18" x14ac:dyDescent="0.2">
      <c r="A634" s="14"/>
      <c r="B634" s="30"/>
      <c r="C634" s="19"/>
      <c r="D634" s="15"/>
      <c r="E634" s="314"/>
      <c r="F634" s="315"/>
      <c r="G634" s="315"/>
      <c r="H634" s="315"/>
      <c r="I634" s="315"/>
      <c r="J634" s="317"/>
      <c r="K634" s="315"/>
      <c r="L634" s="315"/>
      <c r="M634" s="317"/>
      <c r="N634" s="316" t="s">
        <v>1307</v>
      </c>
      <c r="O634" s="316"/>
      <c r="P634" s="145">
        <v>6175321</v>
      </c>
      <c r="Q634" s="18"/>
      <c r="R634" s="286"/>
    </row>
    <row r="635" spans="1:18" x14ac:dyDescent="0.2">
      <c r="A635" s="14"/>
      <c r="B635" s="30"/>
      <c r="C635" s="19"/>
      <c r="D635" s="15"/>
      <c r="E635" s="314"/>
      <c r="F635" s="315"/>
      <c r="G635" s="315"/>
      <c r="H635" s="315"/>
      <c r="I635" s="315"/>
      <c r="J635" s="317"/>
      <c r="K635" s="315"/>
      <c r="L635" s="315"/>
      <c r="M635" s="317"/>
      <c r="N635" s="315"/>
      <c r="O635" s="315"/>
      <c r="P635" s="318"/>
      <c r="Q635" s="18"/>
      <c r="R635" s="286"/>
    </row>
    <row r="636" spans="1:18" x14ac:dyDescent="0.2">
      <c r="A636" s="14"/>
      <c r="B636" s="30"/>
      <c r="C636" s="19"/>
      <c r="D636" s="15"/>
      <c r="E636" s="314"/>
      <c r="F636" s="315"/>
      <c r="G636" s="315"/>
      <c r="H636" s="315"/>
      <c r="I636" s="315"/>
      <c r="J636" s="317"/>
      <c r="K636" s="315"/>
      <c r="L636" s="315"/>
      <c r="M636" s="317"/>
      <c r="N636" s="315" t="s">
        <v>1308</v>
      </c>
      <c r="O636" s="315"/>
      <c r="P636" s="319">
        <f>P632/P634</f>
        <v>0.98099564378920545</v>
      </c>
      <c r="Q636" s="320" t="str">
        <f t="shared" ref="Q636" si="11">CONCATENATE(N636," _ ",O636," _ ",G636," _ ",H636," _ ",I636," _ ",J636," _ ",K636)</f>
        <v xml:space="preserve">% activité  _  _  _  _  _  _ </v>
      </c>
      <c r="R636" s="286"/>
    </row>
    <row r="637" spans="1:18" x14ac:dyDescent="0.2">
      <c r="A637" s="286"/>
      <c r="B637" s="286"/>
      <c r="C637" s="286"/>
      <c r="D637" s="286"/>
      <c r="E637" s="286"/>
      <c r="F637" s="286"/>
      <c r="G637" s="286"/>
      <c r="H637" s="286"/>
      <c r="I637" s="286"/>
      <c r="J637" s="286"/>
      <c r="K637" s="286"/>
      <c r="L637" s="286"/>
      <c r="M637" s="321"/>
      <c r="N637" s="286"/>
      <c r="O637" s="286"/>
      <c r="P637" s="286"/>
      <c r="Q637" s="286"/>
      <c r="R637" s="286"/>
    </row>
    <row r="638" spans="1:18" ht="140.25" x14ac:dyDescent="0.2">
      <c r="A638" s="14" t="s">
        <v>20</v>
      </c>
      <c r="B638" s="252" t="s">
        <v>1581</v>
      </c>
      <c r="C638" s="14" t="s">
        <v>22</v>
      </c>
      <c r="D638" s="150" t="s">
        <v>94</v>
      </c>
      <c r="E638" s="150" t="s">
        <v>94</v>
      </c>
      <c r="F638" s="254" t="s">
        <v>1587</v>
      </c>
      <c r="G638" s="408" t="s">
        <v>1597</v>
      </c>
      <c r="H638" s="409"/>
      <c r="I638" s="409"/>
      <c r="J638" s="409"/>
      <c r="K638" s="410"/>
      <c r="L638" s="255" t="s">
        <v>1609</v>
      </c>
      <c r="M638" s="152" t="s">
        <v>1608</v>
      </c>
      <c r="N638" s="172" t="s">
        <v>1607</v>
      </c>
      <c r="O638" s="150" t="s">
        <v>94</v>
      </c>
      <c r="P638" s="150" t="s">
        <v>94</v>
      </c>
      <c r="Q638" s="18" t="str">
        <f t="shared" ref="Q638:Q639" si="12">CONCATENATE(N638," _ ",O638," _ ",G638," _ ",H638," _ ",I638," _ ",J638," _ ",K638)</f>
        <v xml:space="preserve">BM PP01 _ NA _ Prélèvement cutané pour examens microbiologiques
Prélèvement des phanères pour examens microbiologiques _  _  _  _ </v>
      </c>
    </row>
    <row r="639" spans="1:18" ht="94.5" x14ac:dyDescent="0.2">
      <c r="A639" s="14" t="s">
        <v>20</v>
      </c>
      <c r="B639" s="252" t="s">
        <v>1583</v>
      </c>
      <c r="C639" s="14" t="s">
        <v>22</v>
      </c>
      <c r="D639" s="150" t="s">
        <v>94</v>
      </c>
      <c r="E639" s="150" t="s">
        <v>94</v>
      </c>
      <c r="F639" s="253" t="s">
        <v>1588</v>
      </c>
      <c r="G639" s="408" t="s">
        <v>1598</v>
      </c>
      <c r="H639" s="409"/>
      <c r="I639" s="409"/>
      <c r="J639" s="409"/>
      <c r="K639" s="410"/>
      <c r="L639" s="254" t="s">
        <v>1606</v>
      </c>
      <c r="M639" s="152" t="s">
        <v>1608</v>
      </c>
      <c r="N639" s="172" t="s">
        <v>1607</v>
      </c>
      <c r="O639" s="150" t="s">
        <v>94</v>
      </c>
      <c r="P639" s="150" t="s">
        <v>94</v>
      </c>
      <c r="Q639" s="18" t="str">
        <f t="shared" si="12"/>
        <v xml:space="preserve">BM PP01 _ NA _ Ponction sternale ou iliaque _  _  _  _ </v>
      </c>
    </row>
    <row r="640" spans="1:18" x14ac:dyDescent="0.2">
      <c r="A640" s="17"/>
      <c r="B640" s="128"/>
      <c r="C640" s="112"/>
      <c r="D640" s="110"/>
      <c r="E640" s="136"/>
      <c r="F640" s="137"/>
      <c r="G640" s="137"/>
      <c r="H640" s="137"/>
      <c r="I640" s="137"/>
      <c r="J640" s="138"/>
      <c r="K640" s="137"/>
      <c r="L640" s="137"/>
      <c r="M640" s="139"/>
      <c r="N640" s="140" t="s">
        <v>1306</v>
      </c>
      <c r="O640" s="140"/>
      <c r="P640" s="141">
        <f>SUM(P15:P626)</f>
        <v>6057963</v>
      </c>
      <c r="Q640" s="18"/>
    </row>
    <row r="641" spans="1:17" x14ac:dyDescent="0.2">
      <c r="A641" s="17"/>
      <c r="B641" s="128"/>
      <c r="C641" s="112"/>
      <c r="D641" s="110"/>
      <c r="E641" s="136"/>
      <c r="F641" s="139"/>
      <c r="G641" s="139"/>
      <c r="H641" s="139"/>
      <c r="I641" s="139"/>
      <c r="J641" s="143"/>
      <c r="K641" s="139"/>
      <c r="L641" s="139"/>
      <c r="M641" s="143"/>
      <c r="N641" s="139"/>
      <c r="O641" s="139"/>
      <c r="P641" s="144"/>
      <c r="Q641" s="18"/>
    </row>
    <row r="642" spans="1:17" x14ac:dyDescent="0.2">
      <c r="A642" s="17"/>
      <c r="B642" s="128"/>
      <c r="C642" s="112"/>
      <c r="D642" s="110"/>
      <c r="E642" s="136"/>
      <c r="F642" s="139"/>
      <c r="G642" s="139"/>
      <c r="H642" s="139"/>
      <c r="I642" s="139"/>
      <c r="J642" s="143"/>
      <c r="K642" s="139"/>
      <c r="L642" s="139"/>
      <c r="M642" s="143"/>
      <c r="N642" s="140" t="s">
        <v>1307</v>
      </c>
      <c r="O642" s="140"/>
      <c r="P642" s="145">
        <v>6175321</v>
      </c>
      <c r="Q642" s="18"/>
    </row>
    <row r="643" spans="1:17" x14ac:dyDescent="0.2">
      <c r="A643" s="17"/>
      <c r="B643" s="128"/>
      <c r="C643" s="112"/>
      <c r="D643" s="110"/>
      <c r="E643" s="136"/>
      <c r="F643" s="139"/>
      <c r="G643" s="139"/>
      <c r="H643" s="139"/>
      <c r="I643" s="139"/>
      <c r="J643" s="143"/>
      <c r="K643" s="139"/>
      <c r="L643" s="139"/>
      <c r="M643" s="143"/>
      <c r="N643" s="139"/>
      <c r="O643" s="139"/>
      <c r="P643" s="144"/>
      <c r="Q643" s="18"/>
    </row>
    <row r="644" spans="1:17" x14ac:dyDescent="0.2">
      <c r="A644" s="17"/>
      <c r="B644" s="128"/>
      <c r="C644" s="112"/>
      <c r="D644" s="110"/>
      <c r="E644" s="136"/>
      <c r="F644" s="139"/>
      <c r="G644" s="139"/>
      <c r="H644" s="139"/>
      <c r="I644" s="139"/>
      <c r="J644" s="143"/>
      <c r="K644" s="139"/>
      <c r="L644" s="139"/>
      <c r="M644" s="143"/>
      <c r="N644" s="139" t="s">
        <v>1308</v>
      </c>
      <c r="O644" s="139"/>
      <c r="P644" s="146">
        <f>P640/P642</f>
        <v>0.98099564378920545</v>
      </c>
      <c r="Q644" s="142" t="str">
        <f t="shared" ref="Q644" si="13">CONCATENATE(N644," _ ",O644," _ ",G644," _ ",H644," _ ",I644," _ ",J644," _ ",K644)</f>
        <v xml:space="preserve">% activité  _  _  _  _  _  _ </v>
      </c>
    </row>
  </sheetData>
  <autoFilter ref="A14:U640">
    <filterColumn colId="6" showButton="0"/>
    <filterColumn colId="7" showButton="0"/>
    <filterColumn colId="8" showButton="0"/>
    <filterColumn colId="9" showButton="0"/>
  </autoFilter>
  <mergeCells count="33">
    <mergeCell ref="A13:C13"/>
    <mergeCell ref="G14:K14"/>
    <mergeCell ref="A1:A3"/>
    <mergeCell ref="B3:F3"/>
    <mergeCell ref="A4:F4"/>
    <mergeCell ref="A9:B9"/>
    <mergeCell ref="A10:B10"/>
    <mergeCell ref="A6:F6"/>
    <mergeCell ref="A7:F7"/>
    <mergeCell ref="E9:F9"/>
    <mergeCell ref="E10:F10"/>
    <mergeCell ref="C8:D8"/>
    <mergeCell ref="C9:D9"/>
    <mergeCell ref="C10:D10"/>
    <mergeCell ref="E8:F8"/>
    <mergeCell ref="A8:B8"/>
    <mergeCell ref="G638:K638"/>
    <mergeCell ref="G639:K639"/>
    <mergeCell ref="G627:K627"/>
    <mergeCell ref="G628:K628"/>
    <mergeCell ref="G629:K629"/>
    <mergeCell ref="G630:K630"/>
    <mergeCell ref="G631:K631"/>
    <mergeCell ref="G617:K617"/>
    <mergeCell ref="G618:K618"/>
    <mergeCell ref="G619:K619"/>
    <mergeCell ref="G620:K620"/>
    <mergeCell ref="G621:K621"/>
    <mergeCell ref="G622:K622"/>
    <mergeCell ref="G623:K623"/>
    <mergeCell ref="G624:K624"/>
    <mergeCell ref="G625:K625"/>
    <mergeCell ref="G626:K626"/>
  </mergeCells>
  <phoneticPr fontId="3" type="noConversion"/>
  <conditionalFormatting sqref="A640:A644 A13 A349:A387 A469:A478 A502:A532 A390:A419">
    <cfRule type="containsText" dxfId="31" priority="37" operator="containsText" text="julien">
      <formula>NOT(ISERROR(SEARCH("julien",A13)))</formula>
    </cfRule>
  </conditionalFormatting>
  <conditionalFormatting sqref="A638:A639">
    <cfRule type="containsText" dxfId="30" priority="22" operator="containsText" text="julien">
      <formula>NOT(ISERROR(SEARCH("julien",A638)))</formula>
    </cfRule>
  </conditionalFormatting>
  <conditionalFormatting sqref="A632:A636 A14 A59:A310">
    <cfRule type="containsText" dxfId="29" priority="19" operator="containsText" text="julien">
      <formula>NOT(ISERROR(SEARCH("julien",A14)))</formula>
    </cfRule>
  </conditionalFormatting>
  <conditionalFormatting sqref="E592">
    <cfRule type="containsText" dxfId="28" priority="14" operator="containsText" text="julien">
      <formula>NOT(ISERROR(SEARCH("julien",E592)))</formula>
    </cfRule>
  </conditionalFormatting>
  <conditionalFormatting sqref="A616">
    <cfRule type="containsText" dxfId="27" priority="12" operator="containsText" text="julien">
      <formula>NOT(ISERROR(SEARCH("julien",A616)))</formula>
    </cfRule>
  </conditionalFormatting>
  <conditionalFormatting sqref="A311">
    <cfRule type="containsText" dxfId="26" priority="11" operator="containsText" text="julien">
      <formula>NOT(ISERROR(SEARCH("julien",A311)))</formula>
    </cfRule>
  </conditionalFormatting>
  <conditionalFormatting sqref="A468">
    <cfRule type="containsText" dxfId="25" priority="10" operator="containsText" text="julien">
      <formula>NOT(ISERROR(SEARCH("julien",A468)))</formula>
    </cfRule>
  </conditionalFormatting>
  <conditionalFormatting sqref="A15:A46">
    <cfRule type="containsText" dxfId="24" priority="9" operator="containsText" text="julien">
      <formula>NOT(ISERROR(SEARCH("julien",A15)))</formula>
    </cfRule>
  </conditionalFormatting>
  <conditionalFormatting sqref="A617:A624 A627:A629">
    <cfRule type="containsText" dxfId="23" priority="8" operator="containsText" text="julien">
      <formula>NOT(ISERROR(SEARCH("julien",A617)))</formula>
    </cfRule>
  </conditionalFormatting>
  <conditionalFormatting sqref="A550">
    <cfRule type="containsText" dxfId="22" priority="7" operator="containsText" text="julien">
      <formula>NOT(ISERROR(SEARCH("julien",A550)))</formula>
    </cfRule>
  </conditionalFormatting>
  <conditionalFormatting sqref="A630:A631">
    <cfRule type="containsText" dxfId="21" priority="18" operator="containsText" text="julien">
      <formula>NOT(ISERROR(SEARCH("julien",A630)))</formula>
    </cfRule>
  </conditionalFormatting>
  <conditionalFormatting sqref="A57">
    <cfRule type="containsText" dxfId="20" priority="5" operator="containsText" text="julien">
      <formula>NOT(ISERROR(SEARCH("julien",A57)))</formula>
    </cfRule>
  </conditionalFormatting>
  <conditionalFormatting sqref="A58">
    <cfRule type="containsText" dxfId="19" priority="4" operator="containsText" text="julien">
      <formula>NOT(ISERROR(SEARCH("julien",A58)))</formula>
    </cfRule>
  </conditionalFormatting>
  <conditionalFormatting sqref="A47:A56 A420:A467 A534:A544 A312:A347">
    <cfRule type="containsText" dxfId="18" priority="17" operator="containsText" text="julien">
      <formula>NOT(ISERROR(SEARCH("julien",A47)))</formula>
    </cfRule>
  </conditionalFormatting>
  <conditionalFormatting sqref="A545:A549 A551:A552">
    <cfRule type="containsText" dxfId="17" priority="16" operator="containsText" text="julien">
      <formula>NOT(ISERROR(SEARCH("julien",A545)))</formula>
    </cfRule>
  </conditionalFormatting>
  <conditionalFormatting sqref="A553:A615">
    <cfRule type="containsText" dxfId="16" priority="15" operator="containsText" text="julien">
      <formula>NOT(ISERROR(SEARCH("julien",A553)))</formula>
    </cfRule>
  </conditionalFormatting>
  <conditionalFormatting sqref="A533">
    <cfRule type="containsText" dxfId="15" priority="6" operator="containsText" text="julien">
      <formula>NOT(ISERROR(SEARCH("julien",A533)))</formula>
    </cfRule>
  </conditionalFormatting>
  <conditionalFormatting sqref="A348">
    <cfRule type="containsText" dxfId="14" priority="3" operator="containsText" text="julien">
      <formula>NOT(ISERROR(SEARCH("julien",A348)))</formula>
    </cfRule>
  </conditionalFormatting>
  <conditionalFormatting sqref="A479:A501">
    <cfRule type="containsText" dxfId="13" priority="2" operator="containsText" text="julien">
      <formula>NOT(ISERROR(SEARCH("julien",A479)))</formula>
    </cfRule>
  </conditionalFormatting>
  <conditionalFormatting sqref="A388:A389">
    <cfRule type="containsText" dxfId="12" priority="1" operator="containsText" text="julien">
      <formula>NOT(ISERROR(SEARCH("julien",A388)))</formula>
    </cfRule>
  </conditionalFormatting>
  <pageMargins left="0.78740157499999996" right="0.78740157499999996" top="0.984251969" bottom="0.984251969" header="0.4921259845" footer="0.49212598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Views>
    <sheetView zoomScale="70" zoomScaleNormal="70" workbookViewId="0">
      <pane ySplit="2" topLeftCell="A3" activePane="bottomLeft" state="frozen"/>
      <selection activeCell="N5" sqref="N5"/>
      <selection pane="bottomLeft" activeCell="U3" sqref="U3"/>
    </sheetView>
  </sheetViews>
  <sheetFormatPr baseColWidth="10" defaultRowHeight="12.75" x14ac:dyDescent="0.2"/>
  <cols>
    <col min="1" max="1" width="23.85546875" style="322" customWidth="1"/>
    <col min="2" max="2" width="17.28515625" style="322" customWidth="1"/>
    <col min="3" max="3" width="16.7109375" style="322" customWidth="1"/>
    <col min="4" max="4" width="14.7109375" style="322" customWidth="1"/>
    <col min="5" max="5" width="28" style="322" customWidth="1"/>
    <col min="6" max="15" width="11.42578125" style="322"/>
    <col min="16" max="16" width="11.42578125" style="339"/>
    <col min="17" max="16384" width="11.42578125" style="322"/>
  </cols>
  <sheetData>
    <row r="1" spans="1:17" ht="36" customHeight="1" thickBot="1" x14ac:dyDescent="0.25">
      <c r="A1" s="446" t="s">
        <v>1309</v>
      </c>
      <c r="B1" s="447"/>
      <c r="C1" s="448" t="s">
        <v>1310</v>
      </c>
      <c r="D1" s="448"/>
      <c r="E1" s="448"/>
      <c r="F1" s="448"/>
      <c r="G1" s="448"/>
      <c r="H1" s="448"/>
      <c r="I1" s="448"/>
      <c r="J1" s="448"/>
      <c r="K1" s="448"/>
      <c r="L1" s="448"/>
      <c r="M1" s="448"/>
      <c r="N1" s="448"/>
      <c r="O1" s="448"/>
      <c r="P1" s="448"/>
    </row>
    <row r="2" spans="1:17" ht="150" x14ac:dyDescent="0.2">
      <c r="A2" s="323" t="s">
        <v>10</v>
      </c>
      <c r="B2" s="324" t="s">
        <v>11</v>
      </c>
      <c r="C2" s="324" t="s">
        <v>12</v>
      </c>
      <c r="D2" s="323" t="s">
        <v>13</v>
      </c>
      <c r="E2" s="323" t="s">
        <v>14</v>
      </c>
      <c r="F2" s="323" t="s">
        <v>15</v>
      </c>
      <c r="G2" s="449" t="s">
        <v>1311</v>
      </c>
      <c r="H2" s="450"/>
      <c r="I2" s="450"/>
      <c r="J2" s="450"/>
      <c r="K2" s="451"/>
      <c r="L2" s="323" t="s">
        <v>16</v>
      </c>
      <c r="M2" s="323" t="s">
        <v>1312</v>
      </c>
      <c r="N2" s="325" t="s">
        <v>18</v>
      </c>
      <c r="O2" s="325" t="s">
        <v>1313</v>
      </c>
      <c r="P2" s="326" t="s">
        <v>1314</v>
      </c>
    </row>
    <row r="3" spans="1:17" ht="280.5" x14ac:dyDescent="0.2">
      <c r="A3" s="14" t="s">
        <v>20</v>
      </c>
      <c r="B3" s="148" t="s">
        <v>177</v>
      </c>
      <c r="C3" s="149" t="s">
        <v>177</v>
      </c>
      <c r="D3" s="148" t="s">
        <v>1315</v>
      </c>
      <c r="E3" s="151" t="s">
        <v>1316</v>
      </c>
      <c r="F3" s="148" t="s">
        <v>1811</v>
      </c>
      <c r="G3" s="148" t="s">
        <v>1812</v>
      </c>
      <c r="H3" s="148" t="s">
        <v>517</v>
      </c>
      <c r="I3" s="148" t="s">
        <v>1126</v>
      </c>
      <c r="J3" s="148">
        <v>2</v>
      </c>
      <c r="K3" s="148" t="s">
        <v>1317</v>
      </c>
      <c r="L3" s="148" t="s">
        <v>1813</v>
      </c>
      <c r="M3" s="386" t="s">
        <v>1814</v>
      </c>
      <c r="N3" s="384" t="s">
        <v>1318</v>
      </c>
      <c r="O3" s="385" t="s">
        <v>184</v>
      </c>
      <c r="P3" s="384">
        <v>548</v>
      </c>
      <c r="Q3" s="332" t="str">
        <f t="shared" ref="Q3:Q5" si="0">CONCATENATE(N3," _ ",O3," _ ",G3," _ ",H3," _ ",I3," _ ",J3," _ ",K3)</f>
        <v>AC GS02 _ B _ Détection de variants d'intérêt théranostique ou diagnostique pour les tumeurs solides par approche amplicons, séquençage parallèle massif (MiSeq Illumina) et analyse bioinformatique interne à partir d'un logiciel fournisseur _ qualitatif _ manuelle _ 2 _ séquenceur massif parallèle : MiSeq Illumina</v>
      </c>
    </row>
    <row r="4" spans="1:17" ht="409.5" x14ac:dyDescent="0.2">
      <c r="A4" s="14" t="s">
        <v>20</v>
      </c>
      <c r="B4" s="333" t="s">
        <v>664</v>
      </c>
      <c r="C4" s="327" t="s">
        <v>22</v>
      </c>
      <c r="D4" s="333" t="s">
        <v>1328</v>
      </c>
      <c r="E4" s="334" t="s">
        <v>1329</v>
      </c>
      <c r="F4" s="333" t="s">
        <v>1330</v>
      </c>
      <c r="G4" s="333" t="s">
        <v>1331</v>
      </c>
      <c r="H4" s="333" t="s">
        <v>1332</v>
      </c>
      <c r="I4" s="333" t="s">
        <v>1126</v>
      </c>
      <c r="J4" s="333"/>
      <c r="K4" s="333"/>
      <c r="L4" s="333" t="s">
        <v>1333</v>
      </c>
      <c r="M4" s="330" t="s">
        <v>1334</v>
      </c>
      <c r="N4" s="335" t="s">
        <v>1335</v>
      </c>
      <c r="O4" s="336" t="s">
        <v>31</v>
      </c>
      <c r="P4" s="337">
        <v>830</v>
      </c>
      <c r="Q4" s="332" t="str">
        <f t="shared" si="0"/>
        <v xml:space="preserve">BM AP1 _ A _ * Sperme éjaculé frais : Les spermatozoïdes sont obtenus par centrifugation et  migration sur gradient de macromolécules et lavage. La mobilité des spermatozoïdes est estimée par observation au microscope. La numération des spermatozoïdes est réalisée
à partir d'un hémocytomètre (cellule de Thoma)
* Spermatozoïdes congelés – décongelés : Les spermatozoïdes sont obtenus par centrifugation et  migration sur gradient de macromolécules et lavage. La mobilité des spermatozoïdes est estimée par observation au microscope. La numération des spermatozoïdes est réalisée
à partir d'un hémocytomètre (cellule de Thoma)
* Spermatozoïdes testiculaires : Les spermatozoïdes sont obtenus par dilacération mécanique du tissu testiculaire
 _ Qualitatif et Quantitatif _ manuelle _  _ </v>
      </c>
    </row>
    <row r="5" spans="1:17" ht="191.25" x14ac:dyDescent="0.2">
      <c r="A5" s="14" t="s">
        <v>20</v>
      </c>
      <c r="B5" s="333" t="s">
        <v>664</v>
      </c>
      <c r="C5" s="327" t="s">
        <v>22</v>
      </c>
      <c r="D5" s="333" t="s">
        <v>1328</v>
      </c>
      <c r="E5" s="334" t="s">
        <v>1336</v>
      </c>
      <c r="F5" s="333" t="s">
        <v>1337</v>
      </c>
      <c r="G5" s="333" t="s">
        <v>1338</v>
      </c>
      <c r="H5" s="333" t="s">
        <v>170</v>
      </c>
      <c r="I5" s="333" t="s">
        <v>1126</v>
      </c>
      <c r="J5" s="333"/>
      <c r="K5" s="333"/>
      <c r="L5" s="333" t="s">
        <v>1339</v>
      </c>
      <c r="M5" s="330"/>
      <c r="N5" s="335" t="s">
        <v>1340</v>
      </c>
      <c r="O5" s="336" t="s">
        <v>31</v>
      </c>
      <c r="P5" s="337">
        <v>1147</v>
      </c>
      <c r="Q5" s="332" t="str">
        <f t="shared" si="0"/>
        <v xml:space="preserve">BM AP3 _ A _ * Recueil des gamètes et mise fécondation
* Culture embryonnaire
* Congélation et décongélation des ovocytes et des embryons _ Qualitatif _ manuelle _  _ </v>
      </c>
    </row>
    <row r="7" spans="1:17" hidden="1" x14ac:dyDescent="0.2">
      <c r="O7" s="338" t="s">
        <v>1408</v>
      </c>
      <c r="P7" s="339">
        <f>SUM(P3:P5)</f>
        <v>2525</v>
      </c>
    </row>
    <row r="8" spans="1:17" hidden="1" x14ac:dyDescent="0.2"/>
    <row r="9" spans="1:17" hidden="1" x14ac:dyDescent="0.2">
      <c r="O9" s="340" t="s">
        <v>1409</v>
      </c>
      <c r="P9" s="341">
        <v>5.1597317775059787E-3</v>
      </c>
    </row>
    <row r="10" spans="1:17" hidden="1" x14ac:dyDescent="0.2"/>
    <row r="11" spans="1:17" hidden="1" x14ac:dyDescent="0.2">
      <c r="O11" s="340" t="s">
        <v>1410</v>
      </c>
      <c r="P11" s="341">
        <v>0.98741587684267751</v>
      </c>
    </row>
  </sheetData>
  <autoFilter ref="A2:P5">
    <filterColumn colId="6" showButton="0"/>
    <filterColumn colId="7" showButton="0"/>
    <filterColumn colId="8" showButton="0"/>
    <filterColumn colId="9" showButton="0"/>
    <sortState ref="A3:P38">
      <sortCondition ref="B2"/>
    </sortState>
  </autoFilter>
  <mergeCells count="3">
    <mergeCell ref="A1:B1"/>
    <mergeCell ref="C1:P1"/>
    <mergeCell ref="G2:K2"/>
  </mergeCells>
  <conditionalFormatting sqref="A3">
    <cfRule type="containsText" dxfId="11" priority="3" operator="containsText" text="julien">
      <formula>NOT(ISERROR(SEARCH("julien",A3)))</formula>
    </cfRule>
  </conditionalFormatting>
  <conditionalFormatting sqref="A4">
    <cfRule type="containsText" dxfId="10" priority="2" operator="containsText" text="julien">
      <formula>NOT(ISERROR(SEARCH("julien",A4)))</formula>
    </cfRule>
  </conditionalFormatting>
  <conditionalFormatting sqref="A5">
    <cfRule type="containsText" dxfId="9" priority="1" operator="containsText" text="julien">
      <formula>NOT(ISERROR(SEARCH("julien",A5)))</formula>
    </cfRule>
  </conditionalFormatting>
  <pageMargins left="0.78740157480314965" right="0.78740157480314965" top="0.98425196850393704" bottom="0.98425196850393704" header="0.51181102362204722" footer="0.51181102362204722"/>
  <pageSetup paperSize="9" scale="67" orientation="landscape" r:id="rId1"/>
  <headerFooter alignWithMargins="0">
    <oddFooter>&amp;C&amp;A - page &amp;P de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zoomScale="90" zoomScaleNormal="90" workbookViewId="0">
      <pane ySplit="2" topLeftCell="A3" activePane="bottomLeft" state="frozen"/>
      <selection activeCell="N5" sqref="N5"/>
      <selection pane="bottomLeft" activeCell="B5" sqref="B5"/>
    </sheetView>
  </sheetViews>
  <sheetFormatPr baseColWidth="10" defaultRowHeight="12.75" x14ac:dyDescent="0.2"/>
  <cols>
    <col min="1" max="16" width="11.42578125" style="342"/>
    <col min="17" max="17" width="89.140625" style="342" customWidth="1"/>
    <col min="18" max="16384" width="11.42578125" style="342"/>
  </cols>
  <sheetData>
    <row r="1" spans="1:17" ht="36" customHeight="1" thickBot="1" x14ac:dyDescent="0.25">
      <c r="A1" s="452" t="s">
        <v>1309</v>
      </c>
      <c r="B1" s="453"/>
      <c r="C1" s="454" t="s">
        <v>1310</v>
      </c>
      <c r="D1" s="454"/>
      <c r="E1" s="454"/>
      <c r="F1" s="454"/>
      <c r="G1" s="454"/>
      <c r="H1" s="454"/>
      <c r="I1" s="454"/>
      <c r="J1" s="454"/>
      <c r="K1" s="454"/>
      <c r="L1" s="454"/>
      <c r="M1" s="454"/>
      <c r="N1" s="454"/>
      <c r="O1" s="454"/>
      <c r="P1" s="454"/>
    </row>
    <row r="2" spans="1:17" ht="150" x14ac:dyDescent="0.2">
      <c r="A2" s="343" t="s">
        <v>10</v>
      </c>
      <c r="B2" s="344" t="s">
        <v>11</v>
      </c>
      <c r="C2" s="344" t="s">
        <v>12</v>
      </c>
      <c r="D2" s="343" t="s">
        <v>13</v>
      </c>
      <c r="E2" s="343" t="s">
        <v>14</v>
      </c>
      <c r="F2" s="343" t="s">
        <v>15</v>
      </c>
      <c r="G2" s="455" t="s">
        <v>1311</v>
      </c>
      <c r="H2" s="456"/>
      <c r="I2" s="456"/>
      <c r="J2" s="456"/>
      <c r="K2" s="457"/>
      <c r="L2" s="343" t="s">
        <v>16</v>
      </c>
      <c r="M2" s="343" t="s">
        <v>1312</v>
      </c>
      <c r="N2" s="345" t="s">
        <v>18</v>
      </c>
      <c r="O2" s="345" t="s">
        <v>1313</v>
      </c>
      <c r="P2" s="346" t="s">
        <v>1411</v>
      </c>
    </row>
    <row r="3" spans="1:17" ht="127.5" x14ac:dyDescent="0.2">
      <c r="A3" s="14" t="s">
        <v>20</v>
      </c>
      <c r="B3" s="328" t="s">
        <v>177</v>
      </c>
      <c r="C3" s="171" t="s">
        <v>177</v>
      </c>
      <c r="D3" s="333" t="s">
        <v>1412</v>
      </c>
      <c r="E3" s="328" t="s">
        <v>1413</v>
      </c>
      <c r="F3" s="328" t="s">
        <v>1414</v>
      </c>
      <c r="G3" s="328" t="s">
        <v>1415</v>
      </c>
      <c r="H3" s="328" t="s">
        <v>170</v>
      </c>
      <c r="I3" s="328" t="s">
        <v>28</v>
      </c>
      <c r="J3" s="328">
        <v>2</v>
      </c>
      <c r="K3" s="328" t="s">
        <v>1416</v>
      </c>
      <c r="L3" s="328" t="s">
        <v>1417</v>
      </c>
      <c r="M3" s="330"/>
      <c r="N3" s="347" t="s">
        <v>1418</v>
      </c>
      <c r="O3" s="331" t="s">
        <v>184</v>
      </c>
      <c r="P3" s="348">
        <v>1061</v>
      </c>
      <c r="Q3" s="342" t="str">
        <f t="shared" ref="Q3:Q5" si="0">CONCATENATE(N3," _ ",O3," _ ",G3," _ ",H3," _ ",I3," _ ",J3," _ ",K3)</f>
        <v>AC CA01 _ B _ Coloration Papanicolaou sur FCU _ Qualitatif _ Automatisée _ 2 _ Tissue-Tek Prisma Plus
ThinPrep 2000 Hologic</v>
      </c>
    </row>
    <row r="4" spans="1:17" ht="76.5" x14ac:dyDescent="0.2">
      <c r="A4" s="14" t="s">
        <v>20</v>
      </c>
      <c r="B4" s="328" t="s">
        <v>839</v>
      </c>
      <c r="C4" s="178" t="s">
        <v>22</v>
      </c>
      <c r="D4" s="333" t="s">
        <v>1110</v>
      </c>
      <c r="E4" s="329" t="s">
        <v>1422</v>
      </c>
      <c r="F4" s="328" t="s">
        <v>788</v>
      </c>
      <c r="G4" s="328" t="s">
        <v>1423</v>
      </c>
      <c r="H4" s="328" t="s">
        <v>517</v>
      </c>
      <c r="I4" s="328" t="s">
        <v>1126</v>
      </c>
      <c r="J4" s="328" t="s">
        <v>1424</v>
      </c>
      <c r="K4" s="328" t="s">
        <v>1425</v>
      </c>
      <c r="L4" s="328" t="s">
        <v>1426</v>
      </c>
      <c r="M4" s="347"/>
      <c r="N4" s="331" t="s">
        <v>1427</v>
      </c>
      <c r="O4" s="331" t="s">
        <v>184</v>
      </c>
      <c r="P4" s="348">
        <v>2848</v>
      </c>
      <c r="Q4" s="342" t="str">
        <f t="shared" si="0"/>
        <v>BM IC06 _ B _ ELISPOT _ qualitatif _ manuelle _ 1 lecteur ELISPOT pour capture d'images et comptage des spots _ iSpot Spectrum 
Eurobio Scientific</v>
      </c>
    </row>
    <row r="5" spans="1:17" ht="63.75" x14ac:dyDescent="0.2">
      <c r="A5" s="14" t="s">
        <v>20</v>
      </c>
      <c r="B5" s="328" t="s">
        <v>939</v>
      </c>
      <c r="C5" s="330" t="s">
        <v>22</v>
      </c>
      <c r="D5" s="349" t="s">
        <v>213</v>
      </c>
      <c r="E5" s="329" t="s">
        <v>1443</v>
      </c>
      <c r="F5" s="328" t="s">
        <v>1444</v>
      </c>
      <c r="G5" s="328" t="s">
        <v>1445</v>
      </c>
      <c r="H5" s="328" t="s">
        <v>517</v>
      </c>
      <c r="I5" s="328" t="s">
        <v>1440</v>
      </c>
      <c r="J5" s="328">
        <v>1</v>
      </c>
      <c r="K5" s="328" t="s">
        <v>1446</v>
      </c>
      <c r="L5" s="328" t="s">
        <v>1447</v>
      </c>
      <c r="M5" s="328"/>
      <c r="N5" s="331" t="s">
        <v>1448</v>
      </c>
      <c r="O5" s="350" t="s">
        <v>184</v>
      </c>
      <c r="P5" s="348">
        <v>2290</v>
      </c>
      <c r="Q5" s="342" t="str">
        <f t="shared" si="0"/>
        <v>BM MG6 _ B _ Séquençage à Haut débit et Traitement bioinformatique _ qualitatif _ automatisé _ 1 _ MinIon</v>
      </c>
    </row>
    <row r="8" spans="1:17" x14ac:dyDescent="0.2">
      <c r="O8" s="338" t="s">
        <v>1449</v>
      </c>
      <c r="P8" s="342">
        <f>SUM(P3:P4,P5:P5)</f>
        <v>6199</v>
      </c>
    </row>
    <row r="10" spans="1:17" x14ac:dyDescent="0.2">
      <c r="O10" s="351" t="s">
        <v>1409</v>
      </c>
      <c r="P10" s="352">
        <v>1.1510332823184415E-3</v>
      </c>
    </row>
    <row r="12" spans="1:17" x14ac:dyDescent="0.2">
      <c r="O12" s="351" t="s">
        <v>1410</v>
      </c>
      <c r="P12" s="352">
        <v>0.98856691012499598</v>
      </c>
    </row>
    <row r="17" spans="15:15" x14ac:dyDescent="0.2">
      <c r="O17" s="351"/>
    </row>
  </sheetData>
  <autoFilter ref="A2:P5">
    <filterColumn colId="6" showButton="0"/>
    <filterColumn colId="7" showButton="0"/>
    <filterColumn colId="8" showButton="0"/>
    <filterColumn colId="9" showButton="0"/>
    <sortState ref="A3:P19">
      <sortCondition ref="B2:B19"/>
    </sortState>
  </autoFilter>
  <mergeCells count="3">
    <mergeCell ref="A1:B1"/>
    <mergeCell ref="C1:P1"/>
    <mergeCell ref="G2:K2"/>
  </mergeCells>
  <conditionalFormatting sqref="A3">
    <cfRule type="containsText" dxfId="8" priority="3" operator="containsText" text="julien">
      <formula>NOT(ISERROR(SEARCH("julien",A3)))</formula>
    </cfRule>
  </conditionalFormatting>
  <conditionalFormatting sqref="A4">
    <cfRule type="containsText" dxfId="7" priority="2" operator="containsText" text="julien">
      <formula>NOT(ISERROR(SEARCH("julien",A4)))</formula>
    </cfRule>
  </conditionalFormatting>
  <conditionalFormatting sqref="A5">
    <cfRule type="containsText" dxfId="6" priority="1" operator="containsText" text="julien">
      <formula>NOT(ISERROR(SEARCH("julien",A5)))</formula>
    </cfRule>
  </conditionalFormatting>
  <pageMargins left="0.78740157480314965" right="0.78740157480314965" top="0.98425196850393704" bottom="0.98425196850393704" header="0.51181102362204722" footer="0.51181102362204722"/>
  <pageSetup paperSize="9" scale="71" orientation="landscape" r:id="rId1"/>
  <headerFooter alignWithMargins="0">
    <oddFooter>&amp;C&amp;A - page &amp;P de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zoomScale="90" zoomScaleNormal="90" workbookViewId="0">
      <pane ySplit="2" topLeftCell="A12" activePane="bottomLeft" state="frozen"/>
      <selection activeCell="N5" sqref="N5"/>
      <selection pane="bottomLeft" activeCell="F14" sqref="F14"/>
    </sheetView>
  </sheetViews>
  <sheetFormatPr baseColWidth="10" defaultRowHeight="12.75" x14ac:dyDescent="0.2"/>
  <cols>
    <col min="1" max="1" width="11.42578125" style="342"/>
    <col min="2" max="2" width="14.140625" style="342" customWidth="1"/>
    <col min="3" max="5" width="11.42578125" style="342"/>
    <col min="6" max="6" width="18.5703125" style="342" bestFit="1" customWidth="1"/>
    <col min="7" max="11" width="11.42578125" style="342"/>
    <col min="12" max="12" width="26.7109375" style="342" customWidth="1"/>
    <col min="13" max="16" width="11.42578125" style="342"/>
    <col min="17" max="17" width="89.140625" style="342" customWidth="1"/>
    <col min="18" max="16384" width="11.42578125" style="342"/>
  </cols>
  <sheetData>
    <row r="1" spans="1:17" ht="36" customHeight="1" thickBot="1" x14ac:dyDescent="0.25">
      <c r="A1" s="452" t="s">
        <v>1309</v>
      </c>
      <c r="B1" s="453"/>
      <c r="C1" s="454" t="s">
        <v>1310</v>
      </c>
      <c r="D1" s="454"/>
      <c r="E1" s="454"/>
      <c r="F1" s="454"/>
      <c r="G1" s="454"/>
      <c r="H1" s="454"/>
      <c r="I1" s="454"/>
      <c r="J1" s="454"/>
      <c r="K1" s="454"/>
      <c r="L1" s="454"/>
      <c r="M1" s="454"/>
      <c r="N1" s="454"/>
      <c r="O1" s="454"/>
      <c r="P1" s="454"/>
    </row>
    <row r="2" spans="1:17" ht="150" x14ac:dyDescent="0.2">
      <c r="A2" s="343" t="s">
        <v>10</v>
      </c>
      <c r="B2" s="344" t="s">
        <v>11</v>
      </c>
      <c r="C2" s="344" t="s">
        <v>12</v>
      </c>
      <c r="D2" s="343" t="s">
        <v>13</v>
      </c>
      <c r="E2" s="343" t="s">
        <v>14</v>
      </c>
      <c r="F2" s="343" t="s">
        <v>15</v>
      </c>
      <c r="G2" s="455" t="s">
        <v>1311</v>
      </c>
      <c r="H2" s="456"/>
      <c r="I2" s="456"/>
      <c r="J2" s="456"/>
      <c r="K2" s="457"/>
      <c r="L2" s="343" t="s">
        <v>16</v>
      </c>
      <c r="M2" s="343" t="s">
        <v>1312</v>
      </c>
      <c r="N2" s="345" t="s">
        <v>18</v>
      </c>
      <c r="O2" s="345" t="s">
        <v>1313</v>
      </c>
      <c r="P2" s="346" t="s">
        <v>1411</v>
      </c>
    </row>
    <row r="3" spans="1:17" ht="94.5" x14ac:dyDescent="0.2">
      <c r="A3" s="353" t="s">
        <v>20</v>
      </c>
      <c r="B3" s="354" t="s">
        <v>1616</v>
      </c>
      <c r="C3" s="353" t="s">
        <v>22</v>
      </c>
      <c r="D3" s="333" t="s">
        <v>94</v>
      </c>
      <c r="E3" s="333" t="s">
        <v>94</v>
      </c>
      <c r="F3" s="355" t="s">
        <v>25</v>
      </c>
      <c r="G3" s="458" t="s">
        <v>1589</v>
      </c>
      <c r="H3" s="459"/>
      <c r="I3" s="459"/>
      <c r="J3" s="459"/>
      <c r="K3" s="460"/>
      <c r="L3" s="356" t="s">
        <v>1600</v>
      </c>
      <c r="M3" s="330" t="s">
        <v>1608</v>
      </c>
      <c r="N3" s="347" t="s">
        <v>1607</v>
      </c>
      <c r="O3" s="333" t="s">
        <v>94</v>
      </c>
      <c r="P3" s="333" t="s">
        <v>94</v>
      </c>
      <c r="Q3" s="342" t="str">
        <f t="shared" ref="Q3:Q15" si="0">CONCATENATE(N3," _ ",O3," _ ",G3," _ ",H3," _ ",I3," _ ",J3," _ ",K3)</f>
        <v xml:space="preserve">BM PP01 _ NA _ Prélèvement par ponction veineuse directe _  _  _  _ </v>
      </c>
    </row>
    <row r="4" spans="1:17" ht="75" customHeight="1" x14ac:dyDescent="0.2">
      <c r="A4" s="353" t="s">
        <v>20</v>
      </c>
      <c r="B4" s="354" t="s">
        <v>1581</v>
      </c>
      <c r="C4" s="353" t="s">
        <v>22</v>
      </c>
      <c r="D4" s="333" t="s">
        <v>94</v>
      </c>
      <c r="E4" s="333" t="s">
        <v>94</v>
      </c>
      <c r="F4" s="355" t="s">
        <v>25</v>
      </c>
      <c r="G4" s="458" t="s">
        <v>1590</v>
      </c>
      <c r="H4" s="459"/>
      <c r="I4" s="459"/>
      <c r="J4" s="459"/>
      <c r="K4" s="460"/>
      <c r="L4" s="357" t="s">
        <v>1601</v>
      </c>
      <c r="M4" s="330" t="s">
        <v>1608</v>
      </c>
      <c r="N4" s="347" t="s">
        <v>1607</v>
      </c>
      <c r="O4" s="333" t="s">
        <v>94</v>
      </c>
      <c r="P4" s="333" t="s">
        <v>94</v>
      </c>
      <c r="Q4" s="342" t="str">
        <f t="shared" si="0"/>
        <v xml:space="preserve">BM PP01 _ NA _ Prélèvement par ponction artérielle _  _  _  _ </v>
      </c>
    </row>
    <row r="5" spans="1:17" ht="51" x14ac:dyDescent="0.2">
      <c r="A5" s="353" t="s">
        <v>20</v>
      </c>
      <c r="B5" s="354" t="s">
        <v>1581</v>
      </c>
      <c r="C5" s="353" t="s">
        <v>22</v>
      </c>
      <c r="D5" s="333" t="s">
        <v>94</v>
      </c>
      <c r="E5" s="333" t="s">
        <v>94</v>
      </c>
      <c r="F5" s="355" t="s">
        <v>253</v>
      </c>
      <c r="G5" s="458" t="s">
        <v>1599</v>
      </c>
      <c r="H5" s="459"/>
      <c r="I5" s="459"/>
      <c r="J5" s="459"/>
      <c r="K5" s="460"/>
      <c r="L5" s="356" t="s">
        <v>1602</v>
      </c>
      <c r="M5" s="330" t="s">
        <v>1608</v>
      </c>
      <c r="N5" s="347" t="s">
        <v>1607</v>
      </c>
      <c r="O5" s="333" t="s">
        <v>94</v>
      </c>
      <c r="P5" s="333" t="s">
        <v>94</v>
      </c>
      <c r="Q5" s="342" t="str">
        <f t="shared" si="0"/>
        <v xml:space="preserve">BM PP01 _ NA _ Prélèvement par pose d’une poche pédiatrique _  _  _  _ </v>
      </c>
    </row>
    <row r="6" spans="1:17" ht="127.5" x14ac:dyDescent="0.2">
      <c r="A6" s="353" t="s">
        <v>20</v>
      </c>
      <c r="B6" s="354" t="s">
        <v>1614</v>
      </c>
      <c r="C6" s="353" t="s">
        <v>22</v>
      </c>
      <c r="D6" s="333" t="s">
        <v>94</v>
      </c>
      <c r="E6" s="333" t="s">
        <v>94</v>
      </c>
      <c r="F6" s="355" t="s">
        <v>253</v>
      </c>
      <c r="G6" s="458" t="s">
        <v>1591</v>
      </c>
      <c r="H6" s="459"/>
      <c r="I6" s="459"/>
      <c r="J6" s="459"/>
      <c r="K6" s="460"/>
      <c r="L6" s="356" t="s">
        <v>1603</v>
      </c>
      <c r="M6" s="330" t="s">
        <v>1608</v>
      </c>
      <c r="N6" s="347" t="s">
        <v>1607</v>
      </c>
      <c r="O6" s="333" t="s">
        <v>94</v>
      </c>
      <c r="P6" s="333" t="s">
        <v>94</v>
      </c>
      <c r="Q6" s="342" t="str">
        <f t="shared" si="0"/>
        <v xml:space="preserve">BM PP01 _ NA _ Recueil des urines
Prélèvement par recueil sur le site de prélèvement de poche. _  _  _  _ </v>
      </c>
    </row>
    <row r="7" spans="1:17" ht="51" x14ac:dyDescent="0.2">
      <c r="A7" s="353" t="s">
        <v>20</v>
      </c>
      <c r="B7" s="354" t="s">
        <v>1581</v>
      </c>
      <c r="C7" s="353" t="s">
        <v>22</v>
      </c>
      <c r="D7" s="333" t="s">
        <v>94</v>
      </c>
      <c r="E7" s="333" t="s">
        <v>94</v>
      </c>
      <c r="F7" s="355" t="s">
        <v>288</v>
      </c>
      <c r="G7" s="458" t="s">
        <v>1592</v>
      </c>
      <c r="H7" s="459"/>
      <c r="I7" s="459"/>
      <c r="J7" s="459"/>
      <c r="K7" s="460"/>
      <c r="L7" s="356" t="s">
        <v>1610</v>
      </c>
      <c r="M7" s="330" t="s">
        <v>1608</v>
      </c>
      <c r="N7" s="347" t="s">
        <v>1607</v>
      </c>
      <c r="O7" s="333" t="s">
        <v>94</v>
      </c>
      <c r="P7" s="333" t="s">
        <v>94</v>
      </c>
      <c r="Q7" s="342" t="str">
        <f t="shared" si="0"/>
        <v xml:space="preserve">BM PP01 _ NA _ Ecouvillonnage
Recueil salivaire sur buvard _  _  _  _ </v>
      </c>
    </row>
    <row r="8" spans="1:17" ht="51" x14ac:dyDescent="0.2">
      <c r="A8" s="353" t="s">
        <v>20</v>
      </c>
      <c r="B8" s="354" t="s">
        <v>1582</v>
      </c>
      <c r="C8" s="353" t="s">
        <v>22</v>
      </c>
      <c r="D8" s="333" t="s">
        <v>94</v>
      </c>
      <c r="E8" s="333" t="s">
        <v>94</v>
      </c>
      <c r="F8" s="355" t="s">
        <v>1584</v>
      </c>
      <c r="G8" s="458" t="s">
        <v>1611</v>
      </c>
      <c r="H8" s="459"/>
      <c r="I8" s="459"/>
      <c r="J8" s="459"/>
      <c r="K8" s="460"/>
      <c r="L8" s="356" t="s">
        <v>1610</v>
      </c>
      <c r="M8" s="330" t="s">
        <v>1608</v>
      </c>
      <c r="N8" s="347" t="s">
        <v>1607</v>
      </c>
      <c r="O8" s="333" t="s">
        <v>94</v>
      </c>
      <c r="P8" s="333" t="s">
        <v>94</v>
      </c>
      <c r="Q8" s="342" t="str">
        <f t="shared" si="0"/>
        <v xml:space="preserve">BM PP01 _ NA _ Recueil du crachat _  _  _  _ </v>
      </c>
    </row>
    <row r="9" spans="1:17" ht="63.75" x14ac:dyDescent="0.2">
      <c r="A9" s="353" t="s">
        <v>20</v>
      </c>
      <c r="B9" s="354" t="s">
        <v>1581</v>
      </c>
      <c r="C9" s="353" t="s">
        <v>22</v>
      </c>
      <c r="D9" s="333" t="s">
        <v>94</v>
      </c>
      <c r="E9" s="333" t="s">
        <v>94</v>
      </c>
      <c r="F9" s="355" t="s">
        <v>928</v>
      </c>
      <c r="G9" s="458" t="s">
        <v>1593</v>
      </c>
      <c r="H9" s="459"/>
      <c r="I9" s="459"/>
      <c r="J9" s="459"/>
      <c r="K9" s="460"/>
      <c r="L9" s="356" t="s">
        <v>1604</v>
      </c>
      <c r="M9" s="330" t="s">
        <v>1608</v>
      </c>
      <c r="N9" s="347" t="s">
        <v>1607</v>
      </c>
      <c r="O9" s="333" t="s">
        <v>94</v>
      </c>
      <c r="P9" s="333" t="s">
        <v>94</v>
      </c>
      <c r="Q9" s="342" t="str">
        <f t="shared" si="0"/>
        <v xml:space="preserve">BM PP01 _ NA _ Recueil des selles _  _  _  _ </v>
      </c>
    </row>
    <row r="10" spans="1:17" ht="63.75" x14ac:dyDescent="0.2">
      <c r="A10" s="353" t="s">
        <v>20</v>
      </c>
      <c r="B10" s="354" t="s">
        <v>1614</v>
      </c>
      <c r="C10" s="353" t="s">
        <v>22</v>
      </c>
      <c r="D10" s="333" t="s">
        <v>94</v>
      </c>
      <c r="E10" s="333" t="s">
        <v>94</v>
      </c>
      <c r="F10" s="356" t="s">
        <v>1612</v>
      </c>
      <c r="G10" s="458" t="s">
        <v>1594</v>
      </c>
      <c r="H10" s="459"/>
      <c r="I10" s="459"/>
      <c r="J10" s="459"/>
      <c r="K10" s="460"/>
      <c r="L10" s="356" t="s">
        <v>1604</v>
      </c>
      <c r="M10" s="330" t="s">
        <v>1608</v>
      </c>
      <c r="N10" s="347" t="s">
        <v>1607</v>
      </c>
      <c r="O10" s="333" t="s">
        <v>94</v>
      </c>
      <c r="P10" s="333" t="s">
        <v>94</v>
      </c>
      <c r="Q10" s="342" t="str">
        <f t="shared" si="0"/>
        <v xml:space="preserve">BM PP01 _ NA _ Ecouvillonnage pour examens microbiologiques _  _  _  _ </v>
      </c>
    </row>
    <row r="11" spans="1:17" ht="51" x14ac:dyDescent="0.2">
      <c r="A11" s="353" t="s">
        <v>20</v>
      </c>
      <c r="B11" s="354" t="s">
        <v>1615</v>
      </c>
      <c r="C11" s="353" t="s">
        <v>22</v>
      </c>
      <c r="D11" s="333" t="s">
        <v>94</v>
      </c>
      <c r="E11" s="333" t="s">
        <v>94</v>
      </c>
      <c r="F11" s="356" t="s">
        <v>1585</v>
      </c>
      <c r="G11" s="458" t="s">
        <v>1595</v>
      </c>
      <c r="H11" s="459"/>
      <c r="I11" s="459"/>
      <c r="J11" s="459"/>
      <c r="K11" s="460"/>
      <c r="L11" s="356" t="s">
        <v>1605</v>
      </c>
      <c r="M11" s="330" t="s">
        <v>1608</v>
      </c>
      <c r="N11" s="347" t="s">
        <v>1607</v>
      </c>
      <c r="O11" s="333" t="s">
        <v>94</v>
      </c>
      <c r="P11" s="333" t="s">
        <v>94</v>
      </c>
      <c r="Q11" s="342" t="str">
        <f t="shared" si="0"/>
        <v xml:space="preserve">BM PP01 _ NA _ Recueil de sperme _  _  _  _ </v>
      </c>
    </row>
    <row r="12" spans="1:17" ht="63.75" x14ac:dyDescent="0.2">
      <c r="A12" s="353" t="s">
        <v>20</v>
      </c>
      <c r="B12" s="358" t="s">
        <v>1615</v>
      </c>
      <c r="C12" s="353" t="s">
        <v>22</v>
      </c>
      <c r="D12" s="333" t="s">
        <v>94</v>
      </c>
      <c r="E12" s="333" t="s">
        <v>94</v>
      </c>
      <c r="F12" s="356" t="s">
        <v>1613</v>
      </c>
      <c r="G12" s="458" t="s">
        <v>1596</v>
      </c>
      <c r="H12" s="459"/>
      <c r="I12" s="459"/>
      <c r="J12" s="459"/>
      <c r="K12" s="460"/>
      <c r="L12" s="356" t="s">
        <v>1604</v>
      </c>
      <c r="M12" s="330" t="s">
        <v>1608</v>
      </c>
      <c r="N12" s="347" t="s">
        <v>1607</v>
      </c>
      <c r="O12" s="333" t="s">
        <v>94</v>
      </c>
      <c r="P12" s="333" t="s">
        <v>94</v>
      </c>
      <c r="Q12" s="342" t="str">
        <f t="shared" si="0"/>
        <v xml:space="preserve">BM PP01 _ NA _ Frottis cervico-vaginal _  _  _  _ </v>
      </c>
    </row>
    <row r="13" spans="1:17" ht="63.75" x14ac:dyDescent="0.2">
      <c r="A13" s="353" t="s">
        <v>20</v>
      </c>
      <c r="B13" s="354" t="s">
        <v>1581</v>
      </c>
      <c r="C13" s="353" t="s">
        <v>22</v>
      </c>
      <c r="D13" s="333" t="s">
        <v>94</v>
      </c>
      <c r="E13" s="333" t="s">
        <v>94</v>
      </c>
      <c r="F13" s="356" t="s">
        <v>1586</v>
      </c>
      <c r="G13" s="458" t="s">
        <v>1594</v>
      </c>
      <c r="H13" s="459"/>
      <c r="I13" s="459"/>
      <c r="J13" s="459"/>
      <c r="K13" s="460"/>
      <c r="L13" s="356" t="s">
        <v>1604</v>
      </c>
      <c r="M13" s="330" t="s">
        <v>1608</v>
      </c>
      <c r="N13" s="347" t="s">
        <v>1607</v>
      </c>
      <c r="O13" s="333" t="s">
        <v>94</v>
      </c>
      <c r="P13" s="333" t="s">
        <v>94</v>
      </c>
      <c r="Q13" s="342" t="str">
        <f t="shared" si="0"/>
        <v xml:space="preserve">BM PP01 _ NA _ Ecouvillonnage pour examens microbiologiques _  _  _  _ </v>
      </c>
    </row>
    <row r="14" spans="1:17" ht="130.5" customHeight="1" x14ac:dyDescent="0.2">
      <c r="A14" s="353" t="s">
        <v>20</v>
      </c>
      <c r="B14" s="354" t="s">
        <v>1581</v>
      </c>
      <c r="C14" s="353" t="s">
        <v>22</v>
      </c>
      <c r="D14" s="333" t="s">
        <v>94</v>
      </c>
      <c r="E14" s="333" t="s">
        <v>94</v>
      </c>
      <c r="F14" s="356" t="s">
        <v>1587</v>
      </c>
      <c r="G14" s="458" t="s">
        <v>1597</v>
      </c>
      <c r="H14" s="459"/>
      <c r="I14" s="459"/>
      <c r="J14" s="459"/>
      <c r="K14" s="460"/>
      <c r="L14" s="357" t="s">
        <v>1824</v>
      </c>
      <c r="M14" s="330" t="s">
        <v>1608</v>
      </c>
      <c r="N14" s="347" t="s">
        <v>1607</v>
      </c>
      <c r="O14" s="333" t="s">
        <v>94</v>
      </c>
      <c r="P14" s="333" t="s">
        <v>94</v>
      </c>
      <c r="Q14" s="342" t="str">
        <f t="shared" si="0"/>
        <v xml:space="preserve">BM PP01 _ NA _ Prélèvement cutané pour examens microbiologiques
Prélèvement des phanères pour examens microbiologiques _  _  _  _ </v>
      </c>
    </row>
    <row r="15" spans="1:17" ht="63" x14ac:dyDescent="0.2">
      <c r="A15" s="353" t="s">
        <v>20</v>
      </c>
      <c r="B15" s="354" t="s">
        <v>1583</v>
      </c>
      <c r="C15" s="353" t="s">
        <v>22</v>
      </c>
      <c r="D15" s="333" t="s">
        <v>94</v>
      </c>
      <c r="E15" s="333" t="s">
        <v>94</v>
      </c>
      <c r="F15" s="355" t="s">
        <v>1588</v>
      </c>
      <c r="G15" s="458" t="s">
        <v>1598</v>
      </c>
      <c r="H15" s="459"/>
      <c r="I15" s="459"/>
      <c r="J15" s="459"/>
      <c r="K15" s="460"/>
      <c r="L15" s="356" t="s">
        <v>1606</v>
      </c>
      <c r="M15" s="330" t="s">
        <v>1608</v>
      </c>
      <c r="N15" s="347" t="s">
        <v>1607</v>
      </c>
      <c r="O15" s="333" t="s">
        <v>94</v>
      </c>
      <c r="P15" s="333" t="s">
        <v>94</v>
      </c>
      <c r="Q15" s="342" t="str">
        <f t="shared" si="0"/>
        <v xml:space="preserve">BM PP01 _ NA _ Ponction sternale ou iliaque _  _  _  _ </v>
      </c>
    </row>
  </sheetData>
  <autoFilter ref="A2:P5">
    <filterColumn colId="6" showButton="0"/>
    <filterColumn colId="7" showButton="0"/>
    <filterColumn colId="8" showButton="0"/>
    <filterColumn colId="9" showButton="0"/>
    <sortState ref="A3:P19">
      <sortCondition ref="B2:B19"/>
    </sortState>
  </autoFilter>
  <mergeCells count="16">
    <mergeCell ref="G5:K5"/>
    <mergeCell ref="A1:B1"/>
    <mergeCell ref="C1:P1"/>
    <mergeCell ref="G2:K2"/>
    <mergeCell ref="G3:K3"/>
    <mergeCell ref="G4:K4"/>
    <mergeCell ref="G12:K12"/>
    <mergeCell ref="G13:K13"/>
    <mergeCell ref="G14:K14"/>
    <mergeCell ref="G15:K15"/>
    <mergeCell ref="G6:K6"/>
    <mergeCell ref="G7:K7"/>
    <mergeCell ref="G8:K8"/>
    <mergeCell ref="G9:K9"/>
    <mergeCell ref="G10:K10"/>
    <mergeCell ref="G11:K11"/>
  </mergeCells>
  <conditionalFormatting sqref="A3:A15">
    <cfRule type="containsText" dxfId="5" priority="1" operator="containsText" text="julien">
      <formula>NOT(ISERROR(SEARCH("julien",A3)))</formula>
    </cfRule>
  </conditionalFormatting>
  <pageMargins left="0.78740157480314965" right="0.78740157480314965" top="0.98425196850393704" bottom="0.98425196850393704" header="0.51181102362204722" footer="0.51181102362204722"/>
  <pageSetup paperSize="9" scale="71" orientation="landscape" r:id="rId1"/>
  <headerFooter alignWithMargins="0">
    <oddFooter>&amp;C&amp;A - page &amp;P de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3"/>
  <sheetViews>
    <sheetView zoomScale="90" zoomScaleNormal="90" workbookViewId="0">
      <pane ySplit="2" topLeftCell="A3" activePane="bottomLeft" state="frozen"/>
      <selection activeCell="N5" sqref="N5"/>
      <selection pane="bottomLeft" activeCell="N4" sqref="N4"/>
    </sheetView>
  </sheetViews>
  <sheetFormatPr baseColWidth="10" defaultRowHeight="12.75" x14ac:dyDescent="0.2"/>
  <cols>
    <col min="1" max="1" width="11.42578125" style="342"/>
    <col min="2" max="2" width="14.140625" style="342" customWidth="1"/>
    <col min="3" max="5" width="11.42578125" style="342"/>
    <col min="6" max="6" width="18.5703125" style="342" bestFit="1" customWidth="1"/>
    <col min="7" max="11" width="11.42578125" style="342"/>
    <col min="12" max="12" width="15.5703125" style="342" customWidth="1"/>
    <col min="13" max="16" width="11.42578125" style="342"/>
    <col min="17" max="17" width="89.140625" style="342" customWidth="1"/>
    <col min="18" max="16384" width="11.42578125" style="342"/>
  </cols>
  <sheetData>
    <row r="1" spans="1:17" ht="36" customHeight="1" thickBot="1" x14ac:dyDescent="0.25">
      <c r="A1" s="452" t="s">
        <v>1309</v>
      </c>
      <c r="B1" s="453"/>
      <c r="C1" s="454" t="s">
        <v>1310</v>
      </c>
      <c r="D1" s="454"/>
      <c r="E1" s="454"/>
      <c r="F1" s="454"/>
      <c r="G1" s="454"/>
      <c r="H1" s="454"/>
      <c r="I1" s="454"/>
      <c r="J1" s="454"/>
      <c r="K1" s="454"/>
      <c r="L1" s="454"/>
      <c r="M1" s="454"/>
      <c r="N1" s="454"/>
      <c r="O1" s="454"/>
      <c r="P1" s="454"/>
    </row>
    <row r="2" spans="1:17" ht="150" customHeight="1" x14ac:dyDescent="0.2">
      <c r="A2" s="343" t="s">
        <v>10</v>
      </c>
      <c r="B2" s="344" t="s">
        <v>11</v>
      </c>
      <c r="C2" s="344" t="s">
        <v>12</v>
      </c>
      <c r="D2" s="343" t="s">
        <v>13</v>
      </c>
      <c r="E2" s="343" t="s">
        <v>14</v>
      </c>
      <c r="F2" s="343" t="s">
        <v>15</v>
      </c>
      <c r="G2" s="455" t="s">
        <v>1311</v>
      </c>
      <c r="H2" s="456"/>
      <c r="I2" s="456"/>
      <c r="J2" s="456"/>
      <c r="K2" s="457"/>
      <c r="L2" s="343" t="s">
        <v>16</v>
      </c>
      <c r="M2" s="343" t="s">
        <v>1312</v>
      </c>
      <c r="N2" s="345" t="s">
        <v>18</v>
      </c>
      <c r="O2" s="345" t="s">
        <v>1313</v>
      </c>
      <c r="P2" s="346" t="s">
        <v>1727</v>
      </c>
    </row>
    <row r="3" spans="1:17" ht="89.25" customHeight="1" x14ac:dyDescent="0.2">
      <c r="A3" s="14" t="s">
        <v>20</v>
      </c>
      <c r="B3" s="328" t="s">
        <v>939</v>
      </c>
      <c r="C3" s="330" t="s">
        <v>22</v>
      </c>
      <c r="D3" s="349" t="s">
        <v>213</v>
      </c>
      <c r="E3" s="329" t="s">
        <v>1724</v>
      </c>
      <c r="F3" s="328" t="s">
        <v>1731</v>
      </c>
      <c r="G3" s="328" t="s">
        <v>1445</v>
      </c>
      <c r="H3" s="131" t="s">
        <v>170</v>
      </c>
      <c r="I3" s="23" t="s">
        <v>28</v>
      </c>
      <c r="J3" s="328">
        <v>1</v>
      </c>
      <c r="K3" s="328" t="s">
        <v>1725</v>
      </c>
      <c r="L3" s="328" t="s">
        <v>1726</v>
      </c>
      <c r="M3" s="328"/>
      <c r="N3" s="331" t="s">
        <v>1762</v>
      </c>
      <c r="O3" s="350" t="s">
        <v>184</v>
      </c>
      <c r="P3" s="348" t="s">
        <v>1728</v>
      </c>
      <c r="Q3" s="342" t="str">
        <f t="shared" ref="Q3:Q13" si="0">CONCATENATE(N3," _ ",O3," _ ",G3," _ ",H3," _ ",I3," _ ",J3," _ ",K3)</f>
        <v>BM MG06 _ B _ Séquençage à Haut débit et Traitement bioinformatique _ Qualitatif _ Automatisée _ 1 _ MiSeq Illumina</v>
      </c>
    </row>
    <row r="4" spans="1:17" ht="140.25" x14ac:dyDescent="0.2">
      <c r="A4" s="14" t="s">
        <v>20</v>
      </c>
      <c r="B4" s="14" t="s">
        <v>120</v>
      </c>
      <c r="C4" s="14" t="s">
        <v>22</v>
      </c>
      <c r="D4" s="23" t="s">
        <v>131</v>
      </c>
      <c r="E4" s="14" t="s">
        <v>1729</v>
      </c>
      <c r="F4" s="14" t="s">
        <v>1730</v>
      </c>
      <c r="G4" s="14" t="s">
        <v>1734</v>
      </c>
      <c r="H4" s="14" t="s">
        <v>27</v>
      </c>
      <c r="I4" s="14" t="s">
        <v>1126</v>
      </c>
      <c r="J4" s="16"/>
      <c r="K4" s="14"/>
      <c r="L4" s="14" t="s">
        <v>1732</v>
      </c>
      <c r="M4" s="231"/>
      <c r="N4" s="118" t="s">
        <v>1733</v>
      </c>
      <c r="O4" s="16" t="s">
        <v>31</v>
      </c>
      <c r="P4" s="27">
        <v>48</v>
      </c>
      <c r="Q4" s="342" t="str">
        <f t="shared" si="0"/>
        <v xml:space="preserve">BM HB03 _ A _ Détermination de l'hématocrite par centrifugation avec 
des tubes capillaires auto-étanchéifiables _ Quantitatif _ manuelle _  _ </v>
      </c>
    </row>
    <row r="5" spans="1:17" ht="69.75" customHeight="1" x14ac:dyDescent="0.2">
      <c r="A5" s="14" t="s">
        <v>1297</v>
      </c>
      <c r="B5" s="328" t="s">
        <v>939</v>
      </c>
      <c r="C5" s="330" t="s">
        <v>22</v>
      </c>
      <c r="D5" s="23" t="s">
        <v>1027</v>
      </c>
      <c r="E5" s="23" t="s">
        <v>1249</v>
      </c>
      <c r="F5" s="23" t="s">
        <v>1735</v>
      </c>
      <c r="G5" s="23" t="s">
        <v>1030</v>
      </c>
      <c r="H5" s="131" t="s">
        <v>170</v>
      </c>
      <c r="I5" s="23" t="s">
        <v>28</v>
      </c>
      <c r="J5" s="111">
        <v>3</v>
      </c>
      <c r="K5" s="23" t="s">
        <v>1251</v>
      </c>
      <c r="L5" s="23" t="s">
        <v>1252</v>
      </c>
      <c r="M5" s="19"/>
      <c r="N5" s="26" t="s">
        <v>1034</v>
      </c>
      <c r="O5" s="36" t="s">
        <v>31</v>
      </c>
      <c r="P5" s="27">
        <v>716</v>
      </c>
      <c r="Q5" s="342" t="str">
        <f t="shared" si="0"/>
        <v>BM VB01 _ A _ Détection d'acides nucléiques avec ou sans amplification, après extraction et purification (hybridation, PCR, …) – Biologie moléculaire _ Qualitatif _ Automatisée _ 3 _ Cepheid, GeneXpert</v>
      </c>
    </row>
    <row r="6" spans="1:17" ht="15.75" x14ac:dyDescent="0.2">
      <c r="A6" s="353"/>
      <c r="B6" s="354"/>
      <c r="C6" s="353"/>
      <c r="D6" s="333"/>
      <c r="E6" s="333"/>
      <c r="F6" s="355"/>
      <c r="G6" s="458"/>
      <c r="H6" s="459"/>
      <c r="I6" s="459"/>
      <c r="J6" s="459"/>
      <c r="K6" s="460"/>
      <c r="L6" s="356"/>
      <c r="M6" s="330"/>
      <c r="N6" s="347"/>
      <c r="O6" s="333"/>
      <c r="P6" s="333"/>
      <c r="Q6" s="342" t="str">
        <f t="shared" si="0"/>
        <v xml:space="preserve"> _  _  _  _  _  _ </v>
      </c>
    </row>
    <row r="7" spans="1:17" ht="15.75" x14ac:dyDescent="0.2">
      <c r="A7" s="353"/>
      <c r="B7" s="354"/>
      <c r="C7" s="353"/>
      <c r="D7" s="333"/>
      <c r="E7" s="333"/>
      <c r="F7" s="355"/>
      <c r="G7" s="458"/>
      <c r="H7" s="459"/>
      <c r="I7" s="459"/>
      <c r="J7" s="459"/>
      <c r="K7" s="460"/>
      <c r="L7" s="356"/>
      <c r="M7" s="330"/>
      <c r="N7" s="347"/>
      <c r="O7" s="333"/>
      <c r="P7" s="333"/>
      <c r="Q7" s="342" t="str">
        <f t="shared" si="0"/>
        <v xml:space="preserve"> _  _  _  _  _  _ </v>
      </c>
    </row>
    <row r="8" spans="1:17" ht="15.75" x14ac:dyDescent="0.2">
      <c r="A8" s="353"/>
      <c r="B8" s="354"/>
      <c r="C8" s="353"/>
      <c r="D8" s="333"/>
      <c r="E8" s="333"/>
      <c r="F8" s="356"/>
      <c r="G8" s="458"/>
      <c r="H8" s="459"/>
      <c r="I8" s="459"/>
      <c r="J8" s="459"/>
      <c r="K8" s="460"/>
      <c r="L8" s="356"/>
      <c r="M8" s="330"/>
      <c r="N8" s="347"/>
      <c r="O8" s="333"/>
      <c r="P8" s="333"/>
      <c r="Q8" s="342" t="str">
        <f t="shared" si="0"/>
        <v xml:space="preserve"> _  _  _  _  _  _ </v>
      </c>
    </row>
    <row r="9" spans="1:17" ht="15.75" x14ac:dyDescent="0.2">
      <c r="A9" s="353"/>
      <c r="B9" s="354"/>
      <c r="C9" s="353"/>
      <c r="D9" s="333"/>
      <c r="E9" s="333"/>
      <c r="F9" s="356"/>
      <c r="G9" s="458"/>
      <c r="H9" s="459"/>
      <c r="I9" s="459"/>
      <c r="J9" s="459"/>
      <c r="K9" s="460"/>
      <c r="L9" s="356"/>
      <c r="M9" s="330"/>
      <c r="N9" s="347"/>
      <c r="O9" s="333"/>
      <c r="P9" s="333"/>
      <c r="Q9" s="342" t="str">
        <f t="shared" si="0"/>
        <v xml:space="preserve"> _  _  _  _  _  _ </v>
      </c>
    </row>
    <row r="10" spans="1:17" ht="15.75" x14ac:dyDescent="0.2">
      <c r="A10" s="353"/>
      <c r="B10" s="358"/>
      <c r="C10" s="353"/>
      <c r="D10" s="333"/>
      <c r="E10" s="333"/>
      <c r="F10" s="356"/>
      <c r="G10" s="458"/>
      <c r="H10" s="459"/>
      <c r="I10" s="459"/>
      <c r="J10" s="459"/>
      <c r="K10" s="460"/>
      <c r="L10" s="356"/>
      <c r="M10" s="330"/>
      <c r="N10" s="347"/>
      <c r="O10" s="333"/>
      <c r="P10" s="333"/>
      <c r="Q10" s="342" t="str">
        <f t="shared" si="0"/>
        <v xml:space="preserve"> _  _  _  _  _  _ </v>
      </c>
    </row>
    <row r="11" spans="1:17" ht="15.75" x14ac:dyDescent="0.2">
      <c r="A11" s="353"/>
      <c r="B11" s="354"/>
      <c r="C11" s="353"/>
      <c r="D11" s="333"/>
      <c r="E11" s="333"/>
      <c r="F11" s="356"/>
      <c r="G11" s="458"/>
      <c r="H11" s="459"/>
      <c r="I11" s="459"/>
      <c r="J11" s="459"/>
      <c r="K11" s="460"/>
      <c r="L11" s="356"/>
      <c r="M11" s="330"/>
      <c r="N11" s="347"/>
      <c r="O11" s="333"/>
      <c r="P11" s="333"/>
      <c r="Q11" s="342" t="str">
        <f t="shared" si="0"/>
        <v xml:space="preserve"> _  _  _  _  _  _ </v>
      </c>
    </row>
    <row r="12" spans="1:17" ht="15.75" x14ac:dyDescent="0.2">
      <c r="A12" s="353"/>
      <c r="B12" s="354"/>
      <c r="C12" s="353"/>
      <c r="D12" s="333"/>
      <c r="E12" s="333"/>
      <c r="F12" s="356"/>
      <c r="G12" s="458"/>
      <c r="H12" s="459"/>
      <c r="I12" s="459"/>
      <c r="J12" s="459"/>
      <c r="K12" s="460"/>
      <c r="L12" s="357"/>
      <c r="M12" s="330"/>
      <c r="N12" s="347"/>
      <c r="O12" s="333"/>
      <c r="P12" s="333"/>
      <c r="Q12" s="342" t="str">
        <f t="shared" si="0"/>
        <v xml:space="preserve"> _  _  _  _  _  _ </v>
      </c>
    </row>
    <row r="13" spans="1:17" ht="15.75" x14ac:dyDescent="0.2">
      <c r="A13" s="353"/>
      <c r="B13" s="354"/>
      <c r="C13" s="353"/>
      <c r="D13" s="333"/>
      <c r="E13" s="333"/>
      <c r="F13" s="355"/>
      <c r="G13" s="458"/>
      <c r="H13" s="459"/>
      <c r="I13" s="459"/>
      <c r="J13" s="459"/>
      <c r="K13" s="460"/>
      <c r="L13" s="356"/>
      <c r="M13" s="330"/>
      <c r="N13" s="347"/>
      <c r="O13" s="333"/>
      <c r="P13" s="333"/>
      <c r="Q13" s="342" t="str">
        <f t="shared" si="0"/>
        <v xml:space="preserve"> _  _  _  _  _  _ </v>
      </c>
    </row>
  </sheetData>
  <autoFilter ref="A2:P13">
    <filterColumn colId="6" showButton="0"/>
    <filterColumn colId="7" showButton="0"/>
    <filterColumn colId="8" showButton="0"/>
    <filterColumn colId="9" showButton="0"/>
    <sortState ref="A3:P19">
      <sortCondition ref="B2:B19"/>
    </sortState>
  </autoFilter>
  <mergeCells count="11">
    <mergeCell ref="G12:K12"/>
    <mergeCell ref="G13:K13"/>
    <mergeCell ref="G6:K6"/>
    <mergeCell ref="G7:K7"/>
    <mergeCell ref="G8:K8"/>
    <mergeCell ref="G9:K9"/>
    <mergeCell ref="A1:B1"/>
    <mergeCell ref="C1:P1"/>
    <mergeCell ref="G2:K2"/>
    <mergeCell ref="G10:K10"/>
    <mergeCell ref="G11:K11"/>
  </mergeCells>
  <conditionalFormatting sqref="A6:A13">
    <cfRule type="containsText" dxfId="4" priority="4" operator="containsText" text="julien">
      <formula>NOT(ISERROR(SEARCH("julien",A6)))</formula>
    </cfRule>
  </conditionalFormatting>
  <conditionalFormatting sqref="A4">
    <cfRule type="containsText" dxfId="3" priority="3" operator="containsText" text="julien">
      <formula>NOT(ISERROR(SEARCH("julien",A4)))</formula>
    </cfRule>
  </conditionalFormatting>
  <conditionalFormatting sqref="A3">
    <cfRule type="containsText" dxfId="2" priority="2" operator="containsText" text="julien">
      <formula>NOT(ISERROR(SEARCH("julien",A3)))</formula>
    </cfRule>
  </conditionalFormatting>
  <conditionalFormatting sqref="A5">
    <cfRule type="containsText" dxfId="1" priority="1" operator="containsText" text="julien">
      <formula>NOT(ISERROR(SEARCH("julien",A5)))</formula>
    </cfRule>
  </conditionalFormatting>
  <pageMargins left="0.78740157480314965" right="0.78740157480314965" top="0.98425196850393704" bottom="0.98425196850393704" header="0.51181102362204722" footer="0.51181102362204722"/>
  <pageSetup paperSize="9" scale="71" orientation="landscape" r:id="rId1"/>
  <headerFooter alignWithMargins="0">
    <oddFooter>&amp;C&amp;A - page &amp;P de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3" tint="0.39997558519241921"/>
    <pageSetUpPr fitToPage="1"/>
  </sheetPr>
  <dimension ref="A1:G782"/>
  <sheetViews>
    <sheetView zoomScale="80" zoomScaleNormal="80" workbookViewId="0">
      <selection activeCell="A261" sqref="A261:G261"/>
    </sheetView>
  </sheetViews>
  <sheetFormatPr baseColWidth="10" defaultRowHeight="12.75" x14ac:dyDescent="0.2"/>
  <cols>
    <col min="1" max="1" width="54" customWidth="1"/>
    <col min="2" max="2" width="22.140625" customWidth="1"/>
    <col min="3" max="3" width="37.5703125" customWidth="1"/>
    <col min="4" max="4" width="38.140625" customWidth="1"/>
    <col min="5" max="5" width="110.42578125" customWidth="1"/>
    <col min="6" max="6" width="19.140625" customWidth="1"/>
    <col min="7" max="7" width="49.42578125" customWidth="1"/>
  </cols>
  <sheetData>
    <row r="1" spans="1:7" ht="24" x14ac:dyDescent="0.2">
      <c r="A1" s="181" t="s">
        <v>1450</v>
      </c>
      <c r="B1" s="181" t="s">
        <v>1451</v>
      </c>
      <c r="C1" s="181" t="s">
        <v>14</v>
      </c>
      <c r="D1" s="181" t="s">
        <v>1452</v>
      </c>
      <c r="E1" s="181" t="s">
        <v>1453</v>
      </c>
      <c r="F1" s="181" t="s">
        <v>1454</v>
      </c>
      <c r="G1" s="181" t="s">
        <v>1455</v>
      </c>
    </row>
    <row r="2" spans="1:7" hidden="1" x14ac:dyDescent="0.2">
      <c r="A2" s="48" t="str">
        <f>'Examens accrédités et ajouts'!A15</f>
        <v>HOPITAL CHARLES NICOLLE CHU ROUEN</v>
      </c>
      <c r="B2" s="48" t="str">
        <f>'Examens accrédités et ajouts'!B15</f>
        <v>Biochimie Générale</v>
      </c>
      <c r="C2" s="48" t="str">
        <f>'Examens accrédités et ajouts'!E15</f>
        <v>Créatine kinase</v>
      </c>
      <c r="D2" s="48" t="str">
        <f>'Examens accrédités et ajouts'!F15</f>
        <v>Sang</v>
      </c>
      <c r="E2" s="182" t="str">
        <f>'Examens accrédités et ajouts'!Q15</f>
        <v>BM BB01 _ A _ Cinétique enzymatique standardisée IFCC  _ Quantitatif _ Automatisée _ 1 _ Cobas Pro Roche</v>
      </c>
      <c r="F2" s="48" t="str">
        <f>'Examens accrédités et ajouts'!L15</f>
        <v>10608 v4</v>
      </c>
      <c r="G2" s="48" t="str">
        <f>'Examens accrédités et ajouts'!M15</f>
        <v>Changement automate:  mise en production le 25/9/24</v>
      </c>
    </row>
    <row r="3" spans="1:7" hidden="1" x14ac:dyDescent="0.2">
      <c r="A3" s="48" t="str">
        <f>'Examens accrédités et ajouts'!A16</f>
        <v>HOPITAL CHARLES NICOLLE CHU ROUEN</v>
      </c>
      <c r="B3" s="48" t="str">
        <f>'Examens accrédités et ajouts'!B16</f>
        <v>Biochimie Générale</v>
      </c>
      <c r="C3" s="48" t="str">
        <f>'Examens accrédités et ajouts'!E16</f>
        <v>Potassium</v>
      </c>
      <c r="D3" s="48" t="str">
        <f>'Examens accrédités et ajouts'!F16</f>
        <v>Sang</v>
      </c>
      <c r="E3" s="182" t="str">
        <f>'Examens accrédités et ajouts'!Q16</f>
        <v xml:space="preserve">BM BB01 _ A _ Potentiométrie indirecte _ Quantitatif _ Automatisée _ 3 _ Cobas Pro Roche
</v>
      </c>
      <c r="F3" s="48" t="str">
        <f>'Examens accrédités et ajouts'!L16</f>
        <v>10674 v6</v>
      </c>
      <c r="G3" s="48" t="str">
        <f>'Examens accrédités et ajouts'!M16</f>
        <v>Changement automate:  mise en production le 25/9/24 et 16/12/2024</v>
      </c>
    </row>
    <row r="4" spans="1:7" hidden="1" x14ac:dyDescent="0.2">
      <c r="A4" s="48" t="str">
        <f>'Examens accrédités et ajouts'!A17</f>
        <v>HOPITAL CHARLES NICOLLE CHU ROUEN</v>
      </c>
      <c r="B4" s="48" t="str">
        <f>'Examens accrédités et ajouts'!B17</f>
        <v>Biochimie Générale</v>
      </c>
      <c r="C4" s="48" t="str">
        <f>'Examens accrédités et ajouts'!E17</f>
        <v>Troponine T</v>
      </c>
      <c r="D4" s="48" t="str">
        <f>'Examens accrédités et ajouts'!F17</f>
        <v>Sang</v>
      </c>
      <c r="E4" s="182" t="str">
        <f>'Examens accrédités et ajouts'!Q17</f>
        <v xml:space="preserve">BM BB01 _ A _ Electrochimiluminescence _ Quantitatif _ Automatisée _ 3 _ Cobas Pro Roche
</v>
      </c>
      <c r="F4" s="48" t="str">
        <f>'Examens accrédités et ajouts'!L17</f>
        <v>10673 v6</v>
      </c>
      <c r="G4" s="48" t="str">
        <f>'Examens accrédités et ajouts'!M17</f>
        <v>Changement automate:  mise en production le 25/9/24 et 16/12/2024</v>
      </c>
    </row>
    <row r="5" spans="1:7" hidden="1" x14ac:dyDescent="0.2">
      <c r="A5" s="48" t="str">
        <f>'Examens accrédités et ajouts'!A18</f>
        <v>HOPITAL CHARLES NICOLLE CHU ROUEN</v>
      </c>
      <c r="B5" s="48" t="str">
        <f>'Examens accrédités et ajouts'!B18</f>
        <v>Biochimie Générale</v>
      </c>
      <c r="C5" s="48" t="str">
        <f>'Examens accrédités et ajouts'!E18</f>
        <v>Phosphatases alcalines</v>
      </c>
      <c r="D5" s="48" t="str">
        <f>'Examens accrédités et ajouts'!F18</f>
        <v>Sang</v>
      </c>
      <c r="E5" s="182" t="str">
        <f>'Examens accrédités et ajouts'!Q18</f>
        <v xml:space="preserve">BM BB01 _ A _ Colorimétrie enzymatique  _ Quantitatif _ Automatisée _ 3 _ Cobas Pro Roche
</v>
      </c>
      <c r="F5" s="48" t="str">
        <f>'Examens accrédités et ajouts'!L18</f>
        <v>14978 v004</v>
      </c>
      <c r="G5" s="48" t="str">
        <f>'Examens accrédités et ajouts'!M18</f>
        <v>Changement automate:  mise en production le 25/9/24 et 16/12/2024</v>
      </c>
    </row>
    <row r="6" spans="1:7" hidden="1" x14ac:dyDescent="0.2">
      <c r="A6" s="48" t="str">
        <f>'Examens accrédités et ajouts'!A19</f>
        <v>HOPITAL CHARLES NICOLLE CHU ROUEN</v>
      </c>
      <c r="B6" s="48" t="str">
        <f>'Examens accrédités et ajouts'!B19</f>
        <v>Biochimie Générale</v>
      </c>
      <c r="C6" s="48" t="str">
        <f>'Examens accrédités et ajouts'!E19</f>
        <v>Magnésium</v>
      </c>
      <c r="D6" s="48" t="str">
        <f>'Examens accrédités et ajouts'!F19</f>
        <v>Sang</v>
      </c>
      <c r="E6" s="182" t="str">
        <f>'Examens accrédités et ajouts'!Q19</f>
        <v xml:space="preserve">BM BB01 _ A _ Colorimétrie  _ Quantitatif _ Automatisée _ 2 _ Cobas Pro Roche
</v>
      </c>
      <c r="F6" s="48" t="str">
        <f>'Examens accrédités et ajouts'!L19</f>
        <v>15040 v005</v>
      </c>
      <c r="G6" s="48" t="str">
        <f>'Examens accrédités et ajouts'!M19</f>
        <v>Changement automate:  mise en production le 25/9/24 et 16/12/2024</v>
      </c>
    </row>
    <row r="7" spans="1:7" hidden="1" x14ac:dyDescent="0.2">
      <c r="A7" s="48" t="str">
        <f>'Examens accrédités et ajouts'!A20</f>
        <v>HOPITAL CHARLES NICOLLE CHU ROUEN</v>
      </c>
      <c r="B7" s="48" t="str">
        <f>'Examens accrédités et ajouts'!B20</f>
        <v>Biochimie Générale</v>
      </c>
      <c r="C7" s="48" t="str">
        <f>'Examens accrédités et ajouts'!E20</f>
        <v>Chlore</v>
      </c>
      <c r="D7" s="48" t="str">
        <f>'Examens accrédités et ajouts'!F20</f>
        <v>Sang</v>
      </c>
      <c r="E7" s="182" t="str">
        <f>'Examens accrédités et ajouts'!Q20</f>
        <v xml:space="preserve">BM BB01 _ A _ Potentiométrie indirecte _ Quantitatif _ Automatisée _ 3 _ Cobas Pro Roche
</v>
      </c>
      <c r="F7" s="48" t="str">
        <f>'Examens accrédités et ajouts'!L20</f>
        <v>15038 v006</v>
      </c>
      <c r="G7" s="48" t="str">
        <f>'Examens accrédités et ajouts'!M20</f>
        <v>Changement automate:  mise en production le 25/9/24 et 16/12/2024</v>
      </c>
    </row>
    <row r="8" spans="1:7" hidden="1" x14ac:dyDescent="0.2">
      <c r="A8" s="48" t="str">
        <f>'Examens accrédités et ajouts'!A21</f>
        <v>HOPITAL CHARLES NICOLLE CHU ROUEN</v>
      </c>
      <c r="B8" s="48" t="str">
        <f>'Examens accrédités et ajouts'!B21</f>
        <v>Biochimie Générale</v>
      </c>
      <c r="C8" s="48" t="str">
        <f>'Examens accrédités et ajouts'!E21</f>
        <v>Lipase</v>
      </c>
      <c r="D8" s="48" t="str">
        <f>'Examens accrédités et ajouts'!F21</f>
        <v>Sang</v>
      </c>
      <c r="E8" s="182" t="str">
        <f>'Examens accrédités et ajouts'!Q21</f>
        <v xml:space="preserve">BM BB01 _ A _ Colorimétrie enzymatique _ Quantitatif _ Automatisée _ 2 _ Cobas Pro Roche
</v>
      </c>
      <c r="F8" s="48" t="str">
        <f>'Examens accrédités et ajouts'!L21</f>
        <v>15039 v008</v>
      </c>
      <c r="G8" s="48" t="str">
        <f>'Examens accrédités et ajouts'!M21</f>
        <v>Changement automate:  mise en production le 25/9/24 et 16/12/2024</v>
      </c>
    </row>
    <row r="9" spans="1:7" hidden="1" x14ac:dyDescent="0.2">
      <c r="A9" s="48" t="str">
        <f>'Examens accrédités et ajouts'!A22</f>
        <v>HOPITAL CHARLES NICOLLE CHU ROUEN</v>
      </c>
      <c r="B9" s="48" t="str">
        <f>'Examens accrédités et ajouts'!B22</f>
        <v>Biochimie Générale</v>
      </c>
      <c r="C9" s="48" t="str">
        <f>'Examens accrédités et ajouts'!E22</f>
        <v>Calcium</v>
      </c>
      <c r="D9" s="48" t="str">
        <f>'Examens accrédités et ajouts'!F22</f>
        <v>Sang</v>
      </c>
      <c r="E9" s="182" t="str">
        <f>'Examens accrédités et ajouts'!Q22</f>
        <v xml:space="preserve">BM BB01 _ A _ Colorimétrie _ Quantitatif _ Automatisée _ 3 _ Cobas Pro Roche
</v>
      </c>
      <c r="F9" s="48" t="str">
        <f>'Examens accrédités et ajouts'!L22</f>
        <v>15026 v005</v>
      </c>
      <c r="G9" s="48" t="str">
        <f>'Examens accrédités et ajouts'!M22</f>
        <v>Changement automate:  mise en production le 25/9/24 et 16/12/2024</v>
      </c>
    </row>
    <row r="10" spans="1:7" ht="16.5" hidden="1" customHeight="1" x14ac:dyDescent="0.2">
      <c r="A10" s="48" t="str">
        <f>'Examens accrédités et ajouts'!A23</f>
        <v>HOPITAL CHARLES NICOLLE CHU ROUEN</v>
      </c>
      <c r="B10" s="48" t="str">
        <f>'Examens accrédités et ajouts'!B23</f>
        <v>Biochimie Générale</v>
      </c>
      <c r="C10" s="48" t="str">
        <f>'Examens accrédités et ajouts'!E23</f>
        <v>Urée</v>
      </c>
      <c r="D10" s="48" t="str">
        <f>'Examens accrédités et ajouts'!F23</f>
        <v>Sang</v>
      </c>
      <c r="E10" s="182" t="str">
        <f>'Examens accrédités et ajouts'!Q23</f>
        <v xml:space="preserve">BM BB01 _ A _ Méthode enzymatique (Uréase) _ Quantitatif _ Automatisée _ 3 _ Cobas Pro Roche
</v>
      </c>
      <c r="F10" s="48" t="str">
        <f>'Examens accrédités et ajouts'!L23</f>
        <v>15075 v006</v>
      </c>
      <c r="G10" s="48" t="str">
        <f>'Examens accrédités et ajouts'!M23</f>
        <v>Changement automate:  mise en production le 25/9/24 et 16/12/2024</v>
      </c>
    </row>
    <row r="11" spans="1:7" hidden="1" x14ac:dyDescent="0.2">
      <c r="A11" s="48" t="str">
        <f>'Examens accrédités et ajouts'!A24</f>
        <v>HOPITAL CHARLES NICOLLE CHU ROUEN</v>
      </c>
      <c r="B11" s="48" t="str">
        <f>'Examens accrédités et ajouts'!B24</f>
        <v>Biochimie Générale</v>
      </c>
      <c r="C11" s="48" t="str">
        <f>'Examens accrédités et ajouts'!E24</f>
        <v>Thyréostimuline</v>
      </c>
      <c r="D11" s="48" t="str">
        <f>'Examens accrédités et ajouts'!F24</f>
        <v>Sang</v>
      </c>
      <c r="E11" s="182" t="str">
        <f>'Examens accrédités et ajouts'!Q24</f>
        <v>BM BB01 _ A _ Electrochimiluminescence _ Quantitatif _ Automatisée _ 2 _ Cobas pro Roche</v>
      </c>
      <c r="F11" s="48" t="str">
        <f>'Examens accrédités et ajouts'!L24</f>
        <v>15073 v003</v>
      </c>
      <c r="G11" s="48" t="str">
        <f>'Examens accrédités et ajouts'!M24</f>
        <v>Changement automate:  mise en production le 25/9/24</v>
      </c>
    </row>
    <row r="12" spans="1:7" hidden="1" x14ac:dyDescent="0.2">
      <c r="A12" s="48" t="str">
        <f>'Examens accrédités et ajouts'!A25</f>
        <v>HOPITAL CHARLES NICOLLE CHU ROUEN</v>
      </c>
      <c r="B12" s="48" t="str">
        <f>'Examens accrédités et ajouts'!B25</f>
        <v>Biochimie Générale</v>
      </c>
      <c r="C12" s="48" t="str">
        <f>'Examens accrédités et ajouts'!E25</f>
        <v>Sodium</v>
      </c>
      <c r="D12" s="48" t="str">
        <f>'Examens accrédités et ajouts'!F25</f>
        <v>Sang</v>
      </c>
      <c r="E12" s="182" t="str">
        <f>'Examens accrédités et ajouts'!Q25</f>
        <v xml:space="preserve">BM BB01 _ A _ Potentiométrie indirecte _ Quantitatif _ Automatisée _ 3 _ Cobas Pro Roche
</v>
      </c>
      <c r="F12" s="48" t="str">
        <f>'Examens accrédités et ajouts'!L25</f>
        <v>15067 v006</v>
      </c>
      <c r="G12" s="48" t="str">
        <f>'Examens accrédités et ajouts'!M25</f>
        <v>Changement automate:  mise en production le 25/9/24 et 16/12/2024</v>
      </c>
    </row>
    <row r="13" spans="1:7" hidden="1" x14ac:dyDescent="0.2">
      <c r="A13" s="48" t="str">
        <f>'Examens accrédités et ajouts'!A26</f>
        <v>HOPITAL CHARLES NICOLLE CHU ROUEN</v>
      </c>
      <c r="B13" s="48" t="str">
        <f>'Examens accrédités et ajouts'!B26</f>
        <v>Biochimie Générale</v>
      </c>
      <c r="C13" s="48" t="str">
        <f>'Examens accrédités et ajouts'!E26</f>
        <v>Protides</v>
      </c>
      <c r="D13" s="48" t="str">
        <f>'Examens accrédités et ajouts'!F26</f>
        <v>Sang</v>
      </c>
      <c r="E13" s="182" t="str">
        <f>'Examens accrédités et ajouts'!Q26</f>
        <v xml:space="preserve">BM BB01 _ A _ Colorimétrique (Biuret) _ Quantitatif _ Automatisée _ 3 _ Cobas Pro Roche
</v>
      </c>
      <c r="F13" s="48" t="str">
        <f>'Examens accrédités et ajouts'!L26</f>
        <v>15030 v007</v>
      </c>
      <c r="G13" s="48" t="str">
        <f>'Examens accrédités et ajouts'!M26</f>
        <v>Changement automate:  mise en production le 25/9/24 et 16/12/2024</v>
      </c>
    </row>
    <row r="14" spans="1:7" hidden="1" x14ac:dyDescent="0.2">
      <c r="A14" s="48" t="str">
        <f>'Examens accrédités et ajouts'!A27</f>
        <v>HOPITAL CHARLES NICOLLE CHU ROUEN</v>
      </c>
      <c r="B14" s="48" t="str">
        <f>'Examens accrédités et ajouts'!B27</f>
        <v>Biochimie Générale</v>
      </c>
      <c r="C14" s="48" t="str">
        <f>'Examens accrédités et ajouts'!E27</f>
        <v>NT-ProBNP</v>
      </c>
      <c r="D14" s="48" t="str">
        <f>'Examens accrédités et ajouts'!F27</f>
        <v>Sang</v>
      </c>
      <c r="E14" s="182" t="str">
        <f>'Examens accrédités et ajouts'!Q27</f>
        <v xml:space="preserve">BM BB01 _ A _ Electrochimiluminescence _ Quantitatif _ Automatisée _ 2 _ Cobas Pro Roche
</v>
      </c>
      <c r="F14" s="48" t="str">
        <f>'Examens accrédités et ajouts'!L27</f>
        <v>15008 v005</v>
      </c>
      <c r="G14" s="48" t="str">
        <f>'Examens accrédités et ajouts'!M27</f>
        <v>Changement automate:  mise en production le 25/9/24 et 16/12/2024</v>
      </c>
    </row>
    <row r="15" spans="1:7" hidden="1" x14ac:dyDescent="0.2">
      <c r="A15" s="48" t="str">
        <f>'Examens accrédités et ajouts'!A28</f>
        <v>HOPITAL CHARLES NICOLLE CHU ROUEN</v>
      </c>
      <c r="B15" s="48" t="str">
        <f>'Examens accrédités et ajouts'!B28</f>
        <v>Biochimie Générale</v>
      </c>
      <c r="C15" s="48" t="str">
        <f>'Examens accrédités et ajouts'!E28</f>
        <v>Gamma GT</v>
      </c>
      <c r="D15" s="48" t="str">
        <f>'Examens accrédités et ajouts'!F28</f>
        <v>Sang</v>
      </c>
      <c r="E15" s="182" t="str">
        <f>'Examens accrédités et ajouts'!Q28</f>
        <v xml:space="preserve">BM BB01 _ A _ Colorimétrie   _ Quantitatif _ Automatisée _ 3 _ Cobas Pro Roche
</v>
      </c>
      <c r="F15" s="48" t="str">
        <f>'Examens accrédités et ajouts'!L28</f>
        <v>15013 v005</v>
      </c>
      <c r="G15" s="48" t="str">
        <f>'Examens accrédités et ajouts'!M28</f>
        <v>Changement automate:  mise en production le 25/9/24 et 16/12/2024</v>
      </c>
    </row>
    <row r="16" spans="1:7" hidden="1" x14ac:dyDescent="0.2">
      <c r="A16" s="48" t="str">
        <f>'Examens accrédités et ajouts'!A29</f>
        <v>HOPITAL CHARLES NICOLLE CHU ROUEN</v>
      </c>
      <c r="B16" s="48" t="str">
        <f>'Examens accrédités et ajouts'!B29</f>
        <v>Biochimie Générale</v>
      </c>
      <c r="C16" s="48" t="str">
        <f>'Examens accrédités et ajouts'!E29</f>
        <v>Lactate</v>
      </c>
      <c r="D16" s="48" t="str">
        <f>'Examens accrédités et ajouts'!F29</f>
        <v>Sang</v>
      </c>
      <c r="E16" s="182" t="str">
        <f>'Examens accrédités et ajouts'!Q29</f>
        <v xml:space="preserve">BM BB01 _ A _ Colorimétrie enzymatique _ Quantitatif _ Automatisée _ 3 _ Cobas Pro Roche
</v>
      </c>
      <c r="F16" s="48" t="str">
        <f>'Examens accrédités et ajouts'!L29</f>
        <v>16866 v5</v>
      </c>
      <c r="G16" s="48" t="str">
        <f>'Examens accrédités et ajouts'!M29</f>
        <v>Changement automate:  mise en production le 25/9/24 et 16/12/2024</v>
      </c>
    </row>
    <row r="17" spans="1:7" hidden="1" x14ac:dyDescent="0.2">
      <c r="A17" s="48" t="str">
        <f>'Examens accrédités et ajouts'!A30</f>
        <v>HOPITAL CHARLES NICOLLE CHU ROUEN</v>
      </c>
      <c r="B17" s="48" t="str">
        <f>'Examens accrédités et ajouts'!B30</f>
        <v>Biochimie Générale</v>
      </c>
      <c r="C17" s="48" t="str">
        <f>'Examens accrédités et ajouts'!E30</f>
        <v>Ferritine sérique</v>
      </c>
      <c r="D17" s="48" t="str">
        <f>'Examens accrédités et ajouts'!F30</f>
        <v>Sang</v>
      </c>
      <c r="E17" s="182" t="str">
        <f>'Examens accrédités et ajouts'!Q30</f>
        <v>BM BB01 _ A _ Electrochimiluminescence _ Quantitatif _ Automatisée _ 2 _ Cobas Pro Roche</v>
      </c>
      <c r="F17" s="48" t="str">
        <f>'Examens accrédités et ajouts'!L30</f>
        <v>25084 v1</v>
      </c>
      <c r="G17" s="48" t="str">
        <f>'Examens accrédités et ajouts'!M30</f>
        <v>Changement automate:  mise en production le 25/9/24</v>
      </c>
    </row>
    <row r="18" spans="1:7" hidden="1" x14ac:dyDescent="0.2">
      <c r="A18" s="48" t="str">
        <f>'Examens accrédités et ajouts'!A31</f>
        <v>HOPITAL CHARLES NICOLLE CHU ROUEN</v>
      </c>
      <c r="B18" s="48" t="str">
        <f>'Examens accrédités et ajouts'!B31</f>
        <v>Biochimie Générale</v>
      </c>
      <c r="C18" s="48" t="str">
        <f>'Examens accrédités et ajouts'!E31</f>
        <v>CRP Plasmatique</v>
      </c>
      <c r="D18" s="48" t="str">
        <f>'Examens accrédités et ajouts'!F31</f>
        <v>Sang</v>
      </c>
      <c r="E18" s="182" t="str">
        <f>'Examens accrédités et ajouts'!Q31</f>
        <v xml:space="preserve">BM BB01 _ A _ Immunoturbidimétrie _ Quantitatif _ Automatisée _ 3 _ Cobas Pro Roche
</v>
      </c>
      <c r="F18" s="48" t="str">
        <f>'Examens accrédités et ajouts'!L31</f>
        <v>25052 v3</v>
      </c>
      <c r="G18" s="48" t="str">
        <f>'Examens accrédités et ajouts'!M31</f>
        <v>Changement automate:  mise en production le 25/9/24 et 16/12/2024</v>
      </c>
    </row>
    <row r="19" spans="1:7" hidden="1" x14ac:dyDescent="0.2">
      <c r="A19" s="48" t="str">
        <f>'Examens accrédités et ajouts'!A32</f>
        <v>HOPITAL CHARLES NICOLLE CHU ROUEN</v>
      </c>
      <c r="B19" s="48" t="str">
        <f>'Examens accrédités et ajouts'!B32</f>
        <v>Biochimie Générale</v>
      </c>
      <c r="C19" s="48" t="str">
        <f>'Examens accrédités et ajouts'!E32</f>
        <v>Cholesterol sérique</v>
      </c>
      <c r="D19" s="48" t="str">
        <f>'Examens accrédités et ajouts'!F32</f>
        <v>Sang</v>
      </c>
      <c r="E19" s="182" t="str">
        <f>'Examens accrédités et ajouts'!Q32</f>
        <v>BM BB01 _ A _ Colorimétrie enzymatique _ Quantitatif _ Automatisée _ 2 _ Cobas Pro Roche</v>
      </c>
      <c r="F19" s="48" t="str">
        <f>'Examens accrédités et ajouts'!L32</f>
        <v>23479 v3</v>
      </c>
      <c r="G19" s="48" t="str">
        <f>'Examens accrédités et ajouts'!M32</f>
        <v>Changement automate:  mise en production le 25/9/24</v>
      </c>
    </row>
    <row r="20" spans="1:7" hidden="1" x14ac:dyDescent="0.2">
      <c r="A20" s="48" t="str">
        <f>'Examens accrédités et ajouts'!A33</f>
        <v>HOPITAL CHARLES NICOLLE CHU ROUEN</v>
      </c>
      <c r="B20" s="48" t="str">
        <f>'Examens accrédités et ajouts'!B33</f>
        <v>Biochimie Générale</v>
      </c>
      <c r="C20" s="48" t="str">
        <f>'Examens accrédités et ajouts'!E33</f>
        <v>HDL cholesterol sérique</v>
      </c>
      <c r="D20" s="48" t="str">
        <f>'Examens accrédités et ajouts'!F33</f>
        <v>Sang</v>
      </c>
      <c r="E20" s="182" t="str">
        <f>'Examens accrédités et ajouts'!Q33</f>
        <v>BM BB01 _ A _ Colorimétrie enzymatique _ Quantitatif _ Automatisée _ 2 _ Cobas Pro Roche</v>
      </c>
      <c r="F20" s="48" t="str">
        <f>'Examens accrédités et ajouts'!L33</f>
        <v>23479 v3</v>
      </c>
      <c r="G20" s="48" t="str">
        <f>'Examens accrédités et ajouts'!M33</f>
        <v>Changement automate:  mise en production le 25/9/24</v>
      </c>
    </row>
    <row r="21" spans="1:7" hidden="1" x14ac:dyDescent="0.2">
      <c r="A21" s="48" t="str">
        <f>'Examens accrédités et ajouts'!A34</f>
        <v>HOPITAL CHARLES NICOLLE CHU ROUEN</v>
      </c>
      <c r="B21" s="48" t="str">
        <f>'Examens accrédités et ajouts'!B34</f>
        <v>Biochimie Générale</v>
      </c>
      <c r="C21" s="48" t="str">
        <f>'Examens accrédités et ajouts'!E34</f>
        <v>Triglycérides sériques</v>
      </c>
      <c r="D21" s="48" t="str">
        <f>'Examens accrédités et ajouts'!F34</f>
        <v>Sang</v>
      </c>
      <c r="E21" s="182" t="str">
        <f>'Examens accrédités et ajouts'!Q34</f>
        <v>BM BB01 _ A _ Colorimétrie enzymatique _ Quantitatif _ Automatisée _ 2 _ Cobas Pro Roche</v>
      </c>
      <c r="F21" s="48" t="str">
        <f>'Examens accrédités et ajouts'!L34</f>
        <v>22877 v2</v>
      </c>
      <c r="G21" s="48" t="str">
        <f>'Examens accrédités et ajouts'!M34</f>
        <v>Changement automate:  mise en production le 25/9/24</v>
      </c>
    </row>
    <row r="22" spans="1:7" hidden="1" x14ac:dyDescent="0.2">
      <c r="A22" s="48" t="str">
        <f>'Examens accrédités et ajouts'!A35</f>
        <v>HOPITAL CHARLES NICOLLE CHU ROUEN</v>
      </c>
      <c r="B22" s="48" t="str">
        <f>'Examens accrédités et ajouts'!B35</f>
        <v>Biochimie Générale</v>
      </c>
      <c r="C22" s="48" t="str">
        <f>'Examens accrédités et ajouts'!E35</f>
        <v>ALAT plasmatique</v>
      </c>
      <c r="D22" s="48" t="str">
        <f>'Examens accrédités et ajouts'!F35</f>
        <v>Sang</v>
      </c>
      <c r="E22" s="182" t="str">
        <f>'Examens accrédités et ajouts'!Q35</f>
        <v xml:space="preserve">BM BB01 _ A _ Cinétique enzymatique standardisée IFCC _ Quantitatif _ Automatisée _ 3 _ Cobas Pro Roche
</v>
      </c>
      <c r="F22" s="48" t="str">
        <f>'Examens accrédités et ajouts'!L35</f>
        <v>23343 v4</v>
      </c>
      <c r="G22" s="48" t="str">
        <f>'Examens accrédités et ajouts'!M35</f>
        <v>Changement automate:  mise en production le 25/9/24 et 16/12/2024</v>
      </c>
    </row>
    <row r="23" spans="1:7" hidden="1" x14ac:dyDescent="0.2">
      <c r="A23" s="48" t="str">
        <f>'Examens accrédités et ajouts'!A36</f>
        <v>HOPITAL CHARLES NICOLLE CHU ROUEN</v>
      </c>
      <c r="B23" s="48" t="str">
        <f>'Examens accrédités et ajouts'!B36</f>
        <v>Biochimie Générale</v>
      </c>
      <c r="C23" s="48" t="str">
        <f>'Examens accrédités et ajouts'!E36</f>
        <v>ASAT</v>
      </c>
      <c r="D23" s="48" t="str">
        <f>'Examens accrédités et ajouts'!F36</f>
        <v>Sang</v>
      </c>
      <c r="E23" s="182" t="str">
        <f>'Examens accrédités et ajouts'!Q36</f>
        <v xml:space="preserve">BM BB01 _ A _ Cinétique enzymatique standardisée IFCC _ Quantitatif _ Automatisée _ 3 _ Cobas Pro Roche
</v>
      </c>
      <c r="F23" s="48" t="str">
        <f>'Examens accrédités et ajouts'!L36</f>
        <v>23507 v4</v>
      </c>
      <c r="G23" s="48" t="str">
        <f>'Examens accrédités et ajouts'!M36</f>
        <v>Changement automate:  mise en production le 25/9/24 et 16/12/2024</v>
      </c>
    </row>
    <row r="24" spans="1:7" hidden="1" x14ac:dyDescent="0.2">
      <c r="A24" s="48" t="str">
        <f>'Examens accrédités et ajouts'!A37</f>
        <v>HOPITAL CHARLES NICOLLE CHU ROUEN</v>
      </c>
      <c r="B24" s="48" t="str">
        <f>'Examens accrédités et ajouts'!B37</f>
        <v>Biochimie Générale</v>
      </c>
      <c r="C24" s="48" t="str">
        <f>'Examens accrédités et ajouts'!E37</f>
        <v>Bilirubine totale plasmatique</v>
      </c>
      <c r="D24" s="48" t="str">
        <f>'Examens accrédités et ajouts'!F37</f>
        <v>Sang</v>
      </c>
      <c r="E24" s="182" t="str">
        <f>'Examens accrédités et ajouts'!Q37</f>
        <v xml:space="preserve">BM BB01 _ A _ Spectrophotométrie  _ Quantitatif _ Automatisée _ 3 _ Cobas Pro Roche 503
</v>
      </c>
      <c r="F24" s="48" t="str">
        <f>'Examens accrédités et ajouts'!L37</f>
        <v>22584 v7</v>
      </c>
      <c r="G24" s="48" t="str">
        <f>'Examens accrédités et ajouts'!M37</f>
        <v>Changement de réactif 03/09/25</v>
      </c>
    </row>
    <row r="25" spans="1:7" hidden="1" x14ac:dyDescent="0.2">
      <c r="A25" s="48" t="str">
        <f>'Examens accrédités et ajouts'!A38</f>
        <v>HOPITAL CHARLES NICOLLE CHU ROUEN</v>
      </c>
      <c r="B25" s="48" t="str">
        <f>'Examens accrédités et ajouts'!B38</f>
        <v>Biochimie Générale</v>
      </c>
      <c r="C25" s="48" t="str">
        <f>'Examens accrédités et ajouts'!E38</f>
        <v>Bilirubine conjuguée plasmatique</v>
      </c>
      <c r="D25" s="48" t="str">
        <f>'Examens accrédités et ajouts'!F38</f>
        <v>Sang</v>
      </c>
      <c r="E25" s="182" t="str">
        <f>'Examens accrédités et ajouts'!Q38</f>
        <v xml:space="preserve">BM BB01 _ A _ Colorimétrie _ Quantitatif _ Automatisée _ 3 _ Cobas Pro Roche
</v>
      </c>
      <c r="F25" s="48" t="str">
        <f>'Examens accrédités et ajouts'!L38</f>
        <v>22584 v4</v>
      </c>
      <c r="G25" s="48" t="str">
        <f>'Examens accrédités et ajouts'!M38</f>
        <v>Changement automate:  mise en production le 25/9/24 et 16/12/2024</v>
      </c>
    </row>
    <row r="26" spans="1:7" hidden="1" x14ac:dyDescent="0.2">
      <c r="A26" s="48" t="str">
        <f>'Examens accrédités et ajouts'!A39</f>
        <v>HOPITAL CHARLES NICOLLE CHU ROUEN</v>
      </c>
      <c r="B26" s="48" t="str">
        <f>'Examens accrédités et ajouts'!B39</f>
        <v>Biochimie Générale</v>
      </c>
      <c r="C26" s="48" t="str">
        <f>'Examens accrédités et ajouts'!E39</f>
        <v>HCG sérique</v>
      </c>
      <c r="D26" s="48" t="str">
        <f>'Examens accrédités et ajouts'!F39</f>
        <v>Sang</v>
      </c>
      <c r="E26" s="182" t="str">
        <f>'Examens accrédités et ajouts'!Q39</f>
        <v xml:space="preserve">BM BB01 _ A _ Electrochimiluminescence _ Quantitatif _ Automatisée _ 3 _ Cobas Pro Roche
</v>
      </c>
      <c r="F26" s="48" t="str">
        <f>'Examens accrédités et ajouts'!L39</f>
        <v>23940 v6</v>
      </c>
      <c r="G26" s="48" t="str">
        <f>'Examens accrédités et ajouts'!M39</f>
        <v>Changement automate:  mise en production le 25/9/24 et 16/12/2024</v>
      </c>
    </row>
    <row r="27" spans="1:7" hidden="1" x14ac:dyDescent="0.2">
      <c r="A27" s="48" t="str">
        <f>'Examens accrédités et ajouts'!A40</f>
        <v>HOPITAL CHARLES NICOLLE CHU ROUEN</v>
      </c>
      <c r="B27" s="48" t="str">
        <f>'Examens accrédités et ajouts'!B40</f>
        <v>Biochimie Générale</v>
      </c>
      <c r="C27" s="48" t="str">
        <f>'Examens accrédités et ajouts'!E40</f>
        <v>Créatinine plasmatique</v>
      </c>
      <c r="D27" s="48" t="str">
        <f>'Examens accrédités et ajouts'!F40</f>
        <v>Sang</v>
      </c>
      <c r="E27" s="182" t="str">
        <f>'Examens accrédités et ajouts'!Q40</f>
        <v xml:space="preserve">BM BB01 _ A _ Colorimétrie ou colorimétrie enzymatique _ Quantitatif _ Automatisée _ 3 _ Cobas Pro Roche
</v>
      </c>
      <c r="F27" s="48" t="str">
        <f>'Examens accrédités et ajouts'!L40</f>
        <v>24671 v3</v>
      </c>
      <c r="G27" s="48" t="str">
        <f>'Examens accrédités et ajouts'!M40</f>
        <v>Changement automate:  mise en production le 25/9/24 et 16/12/2024</v>
      </c>
    </row>
    <row r="28" spans="1:7" hidden="1" x14ac:dyDescent="0.2">
      <c r="A28" s="48" t="str">
        <f>'Examens accrédités et ajouts'!A41</f>
        <v>HOPITAL CHARLES NICOLLE CHU ROUEN</v>
      </c>
      <c r="B28" s="48" t="str">
        <f>'Examens accrédités et ajouts'!B41</f>
        <v>Biochimie Générale</v>
      </c>
      <c r="C28" s="48" t="str">
        <f>'Examens accrédités et ajouts'!E41</f>
        <v>DFG : MDRD et CKD-EPI</v>
      </c>
      <c r="D28" s="48" t="str">
        <f>'Examens accrédités et ajouts'!F41</f>
        <v>Sang</v>
      </c>
      <c r="E28" s="182" t="str">
        <f>'Examens accrédités et ajouts'!Q41</f>
        <v>BM BB01 _ A _ Calcul _ Quantitatif _ Automatisée _ NA _ NA</v>
      </c>
      <c r="F28" s="48" t="str">
        <f>'Examens accrédités et ajouts'!L41</f>
        <v>24671 v3</v>
      </c>
      <c r="G28" s="48">
        <f>'Examens accrédités et ajouts'!M41</f>
        <v>0</v>
      </c>
    </row>
    <row r="29" spans="1:7" hidden="1" x14ac:dyDescent="0.2">
      <c r="A29" s="48" t="str">
        <f>'Examens accrédités et ajouts'!A42</f>
        <v>HOPITAL CHARLES NICOLLE CHU ROUEN</v>
      </c>
      <c r="B29" s="48" t="str">
        <f>'Examens accrédités et ajouts'!B42</f>
        <v>Biochimie Générale</v>
      </c>
      <c r="C29" s="48" t="str">
        <f>'Examens accrédités et ajouts'!E42</f>
        <v>Clairance à la créatinine (Cockroft)</v>
      </c>
      <c r="D29" s="48" t="str">
        <f>'Examens accrédités et ajouts'!F42</f>
        <v>Sang</v>
      </c>
      <c r="E29" s="182" t="str">
        <f>'Examens accrédités et ajouts'!Q42</f>
        <v>BM BB01 _ A _ Calcul _ Quantitatif _ Automatisée _ NA _ NA</v>
      </c>
      <c r="F29" s="48" t="str">
        <f>'Examens accrédités et ajouts'!L42</f>
        <v>24671 v3</v>
      </c>
      <c r="G29" s="48">
        <f>'Examens accrédités et ajouts'!M42</f>
        <v>0</v>
      </c>
    </row>
    <row r="30" spans="1:7" hidden="1" x14ac:dyDescent="0.2">
      <c r="A30" s="48" t="str">
        <f>'Examens accrédités et ajouts'!A43</f>
        <v>HOPITAL CHARLES NICOLLE CHU ROUEN</v>
      </c>
      <c r="B30" s="48" t="str">
        <f>'Examens accrédités et ajouts'!B43</f>
        <v>Biochimie Générale</v>
      </c>
      <c r="C30" s="48" t="str">
        <f>'Examens accrédités et ajouts'!E43</f>
        <v>Bicarbonates plasmatiques</v>
      </c>
      <c r="D30" s="48" t="str">
        <f>'Examens accrédités et ajouts'!F43</f>
        <v>Sang</v>
      </c>
      <c r="E30" s="182" t="str">
        <f>'Examens accrédités et ajouts'!Q43</f>
        <v xml:space="preserve">BM BB01 _ A _ Méthode enzymatique (PEPCK) _ Quantitatif _ Automatisée _ 3 _ Cobas Pro Roche
</v>
      </c>
      <c r="F30" s="48" t="str">
        <f>'Examens accrédités et ajouts'!L43</f>
        <v>26347 v1</v>
      </c>
      <c r="G30" s="48" t="str">
        <f>'Examens accrédités et ajouts'!M43</f>
        <v>Changement automate:  mise en production le 25/9/24 et 16/12/2024</v>
      </c>
    </row>
    <row r="31" spans="1:7" hidden="1" x14ac:dyDescent="0.2">
      <c r="A31" s="48" t="str">
        <f>'Examens accrédités et ajouts'!A44</f>
        <v>HOPITAL CHARLES NICOLLE CHU ROUEN</v>
      </c>
      <c r="B31" s="48" t="str">
        <f>'Examens accrédités et ajouts'!B44</f>
        <v>Biochimie Générale</v>
      </c>
      <c r="C31" s="48" t="str">
        <f>'Examens accrédités et ajouts'!E44</f>
        <v>Acide urique plasmatique</v>
      </c>
      <c r="D31" s="48" t="str">
        <f>'Examens accrédités et ajouts'!F44</f>
        <v>Sang</v>
      </c>
      <c r="E31" s="182" t="str">
        <f>'Examens accrédités et ajouts'!Q44</f>
        <v xml:space="preserve">BM BB01 _ A _ Colorimétrie enzymatique _ Quantitatif _ Automatisée _ 2 _ Cobas Pro Roche
</v>
      </c>
      <c r="F31" s="48" t="str">
        <f>'Examens accrédités et ajouts'!L44</f>
        <v>26271 v2</v>
      </c>
      <c r="G31" s="48" t="str">
        <f>'Examens accrédités et ajouts'!M44</f>
        <v>Changement automate:  mise en production le 25/9/24 et 16/12/2024</v>
      </c>
    </row>
    <row r="32" spans="1:7" hidden="1" x14ac:dyDescent="0.2">
      <c r="A32" s="48" t="str">
        <f>'Examens accrédités et ajouts'!A45</f>
        <v>HOPITAL CHARLES NICOLLE CHU ROUEN</v>
      </c>
      <c r="B32" s="48" t="str">
        <f>'Examens accrédités et ajouts'!B45</f>
        <v>Biochimie Générale</v>
      </c>
      <c r="C32" s="48" t="str">
        <f>'Examens accrédités et ajouts'!E45</f>
        <v>Phosphore plasmatique</v>
      </c>
      <c r="D32" s="48" t="str">
        <f>'Examens accrédités et ajouts'!F45</f>
        <v>Sang</v>
      </c>
      <c r="E32" s="182" t="str">
        <f>'Examens accrédités et ajouts'!Q45</f>
        <v xml:space="preserve">BM BB01 _ A _ Spectrophotométrie UV (Molybdate d'ammonium) _ Quantitatif _ Automatisée _ 3 _ Cobas Pro Roche
</v>
      </c>
      <c r="F32" s="48" t="str">
        <f>'Examens accrédités et ajouts'!L45</f>
        <v>26256 v3</v>
      </c>
      <c r="G32" s="48" t="str">
        <f>'Examens accrédités et ajouts'!M45</f>
        <v>Changement automate:  mise en production le 25/9/24 et 16/12/2024</v>
      </c>
    </row>
    <row r="33" spans="1:7" hidden="1" x14ac:dyDescent="0.2">
      <c r="A33" s="48" t="str">
        <f>'Examens accrédités et ajouts'!A46</f>
        <v>HOPITAL CHARLES NICOLLE CHU ROUEN</v>
      </c>
      <c r="B33" s="48" t="str">
        <f>'Examens accrédités et ajouts'!B46</f>
        <v>Biochimie Générale</v>
      </c>
      <c r="C33" s="48" t="str">
        <f>'Examens accrédités et ajouts'!E46</f>
        <v>Glucose plasmatique</v>
      </c>
      <c r="D33" s="48" t="str">
        <f>'Examens accrédités et ajouts'!F46</f>
        <v>Sang</v>
      </c>
      <c r="E33" s="182" t="str">
        <f>'Examens accrédités et ajouts'!Q46</f>
        <v xml:space="preserve">BM BB01 _ A _ Enzymatique _ Quantitatif _ Automatisée _ 3 _ Cobas Pro Roche
</v>
      </c>
      <c r="F33" s="48" t="str">
        <f>'Examens accrédités et ajouts'!L46</f>
        <v>26931 v3</v>
      </c>
      <c r="G33" s="48" t="str">
        <f>'Examens accrédités et ajouts'!M46</f>
        <v>Changement automate:  mise en production le 25/9/24 et 16/12/2024</v>
      </c>
    </row>
    <row r="34" spans="1:7" hidden="1" x14ac:dyDescent="0.2">
      <c r="A34" s="48" t="str">
        <f>'Examens accrédités et ajouts'!A47</f>
        <v>HOPITAL CHARLES NICOLLE CHU ROUEN</v>
      </c>
      <c r="B34" s="48" t="str">
        <f>'Examens accrédités et ajouts'!B47</f>
        <v>Biochimie Générale</v>
      </c>
      <c r="C34" s="48" t="str">
        <f>'Examens accrédités et ajouts'!E47</f>
        <v>pH (Gaz du sang)</v>
      </c>
      <c r="D34" s="48" t="str">
        <f>'Examens accrédités et ajouts'!F47</f>
        <v>Sang</v>
      </c>
      <c r="E34" s="182" t="str">
        <f>'Examens accrédités et ajouts'!Q47</f>
        <v>BM BB01 _ A _ Potentiométrie directe _ Quantitatif _ Automatisée _ 4 _ GEM 5000 (WERFEN)</v>
      </c>
      <c r="F34" s="48" t="str">
        <f>'Examens accrédités et ajouts'!L47</f>
        <v>39150 v1
39370 v1
39494 v1
39889 v1</v>
      </c>
      <c r="G34" s="48">
        <f>'Examens accrédités et ajouts'!M47</f>
        <v>0</v>
      </c>
    </row>
    <row r="35" spans="1:7" hidden="1" x14ac:dyDescent="0.2">
      <c r="A35" s="48" t="str">
        <f>'Examens accrédités et ajouts'!A48</f>
        <v>HOPITAL CHARLES NICOLLE CHU ROUEN</v>
      </c>
      <c r="B35" s="48" t="str">
        <f>'Examens accrédités et ajouts'!B48</f>
        <v>Biochimie Générale</v>
      </c>
      <c r="C35" s="48" t="str">
        <f>'Examens accrédités et ajouts'!E48</f>
        <v>pO2 (Gaz du sang)</v>
      </c>
      <c r="D35" s="48" t="str">
        <f>'Examens accrédités et ajouts'!F48</f>
        <v>Sang</v>
      </c>
      <c r="E35" s="182" t="str">
        <f>'Examens accrédités et ajouts'!Q48</f>
        <v>BM BB01 _ A _ Potentiométrie directe _ Quantitatif _ Automatisée _ 4 _ GEM 5000 (WERFEN)</v>
      </c>
      <c r="F35" s="48" t="str">
        <f>'Examens accrédités et ajouts'!L48</f>
        <v>39150 v1
39370 v1
39494 v1
39889 v1</v>
      </c>
      <c r="G35" s="48">
        <f>'Examens accrédités et ajouts'!M48</f>
        <v>0</v>
      </c>
    </row>
    <row r="36" spans="1:7" hidden="1" x14ac:dyDescent="0.2">
      <c r="A36" s="48" t="str">
        <f>'Examens accrédités et ajouts'!A49</f>
        <v>HOPITAL CHARLES NICOLLE CHU ROUEN</v>
      </c>
      <c r="B36" s="48" t="str">
        <f>'Examens accrédités et ajouts'!B49</f>
        <v>Biochimie Générale</v>
      </c>
      <c r="C36" s="48" t="str">
        <f>'Examens accrédités et ajouts'!E49</f>
        <v>pCO2 (Gaz du sang)</v>
      </c>
      <c r="D36" s="48" t="str">
        <f>'Examens accrédités et ajouts'!F49</f>
        <v>Sang</v>
      </c>
      <c r="E36" s="182" t="str">
        <f>'Examens accrédités et ajouts'!Q49</f>
        <v>BM BB01 _ A _ Potentiométrie directe _ Quantitatif _ Automatisée _ 4 _ 
GEM 5000 (WERFEN)</v>
      </c>
      <c r="F36" s="48" t="str">
        <f>'Examens accrédités et ajouts'!L49</f>
        <v>39150 v1
39370 v1
39494 v1
39889 v1</v>
      </c>
      <c r="G36" s="48">
        <f>'Examens accrédités et ajouts'!M49</f>
        <v>0</v>
      </c>
    </row>
    <row r="37" spans="1:7" hidden="1" x14ac:dyDescent="0.2">
      <c r="A37" s="48" t="str">
        <f>'Examens accrédités et ajouts'!A50</f>
        <v>HOPITAL CHARLES NICOLLE CHU ROUEN</v>
      </c>
      <c r="B37" s="48" t="str">
        <f>'Examens accrédités et ajouts'!B50</f>
        <v>Biochimie Générale</v>
      </c>
      <c r="C37" s="48" t="str">
        <f>'Examens accrédités et ajouts'!E50</f>
        <v>Hémogobine Totale (Gaz du sang)</v>
      </c>
      <c r="D37" s="48" t="str">
        <f>'Examens accrédités et ajouts'!F50</f>
        <v>Sang</v>
      </c>
      <c r="E37" s="182" t="str">
        <f>'Examens accrédités et ajouts'!Q50</f>
        <v>BM BB01 _ A _ Absorbance optique _ Quantitatif _ Automatisée _ 4 _ GEM 5000 (WERFEN)</v>
      </c>
      <c r="F37" s="48" t="str">
        <f>'Examens accrédités et ajouts'!L50</f>
        <v>39150 v1
39370 v1
39494 v1
39889 v1</v>
      </c>
      <c r="G37" s="48">
        <f>'Examens accrédités et ajouts'!M50</f>
        <v>0</v>
      </c>
    </row>
    <row r="38" spans="1:7" hidden="1" x14ac:dyDescent="0.2">
      <c r="A38" s="48" t="str">
        <f>'Examens accrédités et ajouts'!A51</f>
        <v>HOPITAL CHARLES NICOLLE CHU ROUEN</v>
      </c>
      <c r="B38" s="48" t="str">
        <f>'Examens accrédités et ajouts'!B51</f>
        <v>Biochimie Générale</v>
      </c>
      <c r="C38" s="48" t="str">
        <f>'Examens accrédités et ajouts'!E51</f>
        <v>Carboxyhémoglobine (Gaz du sang)</v>
      </c>
      <c r="D38" s="48" t="str">
        <f>'Examens accrédités et ajouts'!F51</f>
        <v>Sang</v>
      </c>
      <c r="E38" s="182" t="str">
        <f>'Examens accrédités et ajouts'!Q51</f>
        <v>BM BB01 _ A _ Absorbance optique _ Quantitatif _ Automatisée _ 4 _ GEM 5000 (WERFEN)</v>
      </c>
      <c r="F38" s="48" t="str">
        <f>'Examens accrédités et ajouts'!L51</f>
        <v>39150 v1
39370 v1
39494 v1
39889 v1</v>
      </c>
      <c r="G38" s="48">
        <f>'Examens accrédités et ajouts'!M51</f>
        <v>0</v>
      </c>
    </row>
    <row r="39" spans="1:7" hidden="1" x14ac:dyDescent="0.2">
      <c r="A39" s="48" t="str">
        <f>'Examens accrédités et ajouts'!A52</f>
        <v>HOPITAL CHARLES NICOLLE CHU ROUEN</v>
      </c>
      <c r="B39" s="48" t="str">
        <f>'Examens accrédités et ajouts'!B52</f>
        <v>Biochimie Générale</v>
      </c>
      <c r="C39" s="48" t="str">
        <f>'Examens accrédités et ajouts'!E52</f>
        <v>Oxyhémoglobine (Gaz du sang)</v>
      </c>
      <c r="D39" s="48" t="str">
        <f>'Examens accrédités et ajouts'!F52</f>
        <v>Sang</v>
      </c>
      <c r="E39" s="182" t="str">
        <f>'Examens accrédités et ajouts'!Q52</f>
        <v>BM BB01 _ A _ Absorbance optique _ Quantitatif _ Automatisée _ 4 _ GEM 5000 (WERFEN)</v>
      </c>
      <c r="F39" s="48" t="str">
        <f>'Examens accrédités et ajouts'!L52</f>
        <v>39150 v1
39370 v1
39494 v1
39889 v1</v>
      </c>
      <c r="G39" s="48">
        <f>'Examens accrédités et ajouts'!M52</f>
        <v>0</v>
      </c>
    </row>
    <row r="40" spans="1:7" hidden="1" x14ac:dyDescent="0.2">
      <c r="A40" s="48" t="str">
        <f>'Examens accrédités et ajouts'!A53</f>
        <v>HOPITAL CHARLES NICOLLE CHU ROUEN</v>
      </c>
      <c r="B40" s="48" t="str">
        <f>'Examens accrédités et ajouts'!B53</f>
        <v>Biochimie Générale</v>
      </c>
      <c r="C40" s="48" t="str">
        <f>'Examens accrédités et ajouts'!E53</f>
        <v>Méthémoglobine (Gaz du sang)</v>
      </c>
      <c r="D40" s="48" t="str">
        <f>'Examens accrédités et ajouts'!F53</f>
        <v>Sang</v>
      </c>
      <c r="E40" s="182" t="str">
        <f>'Examens accrédités et ajouts'!Q53</f>
        <v>BM BB01 _ A _ Absorbance optique _ Quantitatif _ Automatisée _ 4 _ GEM 5000 (WERFEN)</v>
      </c>
      <c r="F40" s="48" t="str">
        <f>'Examens accrédités et ajouts'!L53</f>
        <v>39150 v1
39370 v1
39494 v1
39889 v1</v>
      </c>
      <c r="G40" s="48">
        <f>'Examens accrédités et ajouts'!M53</f>
        <v>0</v>
      </c>
    </row>
    <row r="41" spans="1:7" hidden="1" x14ac:dyDescent="0.2">
      <c r="A41" s="48" t="str">
        <f>'Examens accrédités et ajouts'!A54</f>
        <v>HOPITAL CHARLES NICOLLE CHU ROUEN</v>
      </c>
      <c r="B41" s="48" t="str">
        <f>'Examens accrédités et ajouts'!B54</f>
        <v>Hématologie</v>
      </c>
      <c r="C41" s="48" t="str">
        <f>'Examens accrédités et ajouts'!E54</f>
        <v>Temps de Quick</v>
      </c>
      <c r="D41" s="48" t="str">
        <f>'Examens accrédités et ajouts'!F54</f>
        <v>Plasma</v>
      </c>
      <c r="E41" s="182" t="str">
        <f>'Examens accrédités et ajouts'!Q54</f>
        <v xml:space="preserve">BM CB02 _ A _ Chronométrique _ Quantitatif _ Automatisée _ 2 _ STAR Max3 Diagnostica STAGO (chu)    </v>
      </c>
      <c r="F41" s="48" t="str">
        <f>'Examens accrédités et ajouts'!L54</f>
        <v>10646 v8</v>
      </c>
      <c r="G41" s="48" t="str">
        <f>'Examens accrédités et ajouts'!M54</f>
        <v>Nouveaux automates STARMAX3 à partir du 12/11/2024</v>
      </c>
    </row>
    <row r="42" spans="1:7" hidden="1" x14ac:dyDescent="0.2">
      <c r="A42" s="48" t="str">
        <f>'Examens accrédités et ajouts'!A55</f>
        <v>HOPITAL CHARLES NICOLLE CHU ROUEN</v>
      </c>
      <c r="B42" s="48" t="str">
        <f>'Examens accrédités et ajouts'!B55</f>
        <v>Hématologie</v>
      </c>
      <c r="C42" s="48" t="str">
        <f>'Examens accrédités et ajouts'!E55</f>
        <v>Temps de céphaline + activateur</v>
      </c>
      <c r="D42" s="48" t="str">
        <f>'Examens accrédités et ajouts'!F55</f>
        <v>Plasma</v>
      </c>
      <c r="E42" s="182" t="str">
        <f>'Examens accrédités et ajouts'!Q55</f>
        <v xml:space="preserve">BM CB02 _ A _ Chronométrie _ Quantitatif _ Automatisée _ 2 _ STAR Max3 Diagnostica STAGO (chu)    </v>
      </c>
      <c r="F42" s="48" t="str">
        <f>'Examens accrédités et ajouts'!L55</f>
        <v>14898 v4</v>
      </c>
      <c r="G42" s="48" t="str">
        <f>'Examens accrédités et ajouts'!M55</f>
        <v>Nouveaux automates STARMAX3 à partir du 12/11/2024</v>
      </c>
    </row>
    <row r="43" spans="1:7" hidden="1" x14ac:dyDescent="0.2">
      <c r="A43" s="48" t="str">
        <f>'Examens accrédités et ajouts'!A56</f>
        <v>HOPITAL CHARLES NICOLLE CHU ROUEN</v>
      </c>
      <c r="B43" s="48" t="str">
        <f>'Examens accrédités et ajouts'!B56</f>
        <v>Hématologie</v>
      </c>
      <c r="C43" s="48" t="str">
        <f>'Examens accrédités et ajouts'!E56</f>
        <v>Fibrinogène</v>
      </c>
      <c r="D43" s="48" t="str">
        <f>'Examens accrédités et ajouts'!F56</f>
        <v>Plasma</v>
      </c>
      <c r="E43" s="182" t="str">
        <f>'Examens accrédités et ajouts'!Q56</f>
        <v xml:space="preserve">BM CB02 _ A _ Chronométrie _ Quantitatif _ Automatisée _ 2 _ STAR Max3 Diagnostica STAGO (chu)    </v>
      </c>
      <c r="F43" s="48" t="str">
        <f>'Examens accrédités et ajouts'!L56</f>
        <v>14899 v5</v>
      </c>
      <c r="G43" s="48" t="str">
        <f>'Examens accrédités et ajouts'!M56</f>
        <v>Nouveaux automates STARMAX3 à partir du 12/11/2024</v>
      </c>
    </row>
    <row r="44" spans="1:7" hidden="1" x14ac:dyDescent="0.2">
      <c r="A44" s="48" t="str">
        <f>'Examens accrédités et ajouts'!A57</f>
        <v>HOPITAL CHARLES NICOLLE CHU ROUEN</v>
      </c>
      <c r="B44" s="48" t="str">
        <f>'Examens accrédités et ajouts'!B57</f>
        <v>Hématologie</v>
      </c>
      <c r="C44" s="48" t="str">
        <f>'Examens accrédités et ajouts'!E57</f>
        <v>D-Dimères Liatest</v>
      </c>
      <c r="D44" s="48" t="str">
        <f>'Examens accrédités et ajouts'!F57</f>
        <v>Plasma</v>
      </c>
      <c r="E44" s="182" t="str">
        <f>'Examens accrédités et ajouts'!Q57</f>
        <v xml:space="preserve">BM CB02 _ A _ Immunoturbidimétrie _ Quantitatif _ Automatisée _ 3 _  2 STAR Max3 Diagnostica STAGO (chu)
1 STARMAX2
Diagnostica STAGO    </v>
      </c>
      <c r="F44" s="48" t="str">
        <f>'Examens accrédités et ajouts'!L57</f>
        <v>42212 v1</v>
      </c>
      <c r="G44" s="48" t="str">
        <f>'Examens accrédités et ajouts'!M57</f>
        <v>Mise en place d'une nouvelle analyse à partir du 21/01/2025</v>
      </c>
    </row>
    <row r="45" spans="1:7" hidden="1" x14ac:dyDescent="0.2">
      <c r="A45" s="48" t="str">
        <f>'Examens accrédités et ajouts'!A58</f>
        <v>HOPITAL CHARLES NICOLLE CHU ROUEN</v>
      </c>
      <c r="B45" s="48" t="str">
        <f>'Examens accrédités et ajouts'!B58</f>
        <v>Hématologie</v>
      </c>
      <c r="C45" s="48" t="str">
        <f>'Examens accrédités et ajouts'!E58</f>
        <v>D-Dimères, suivi de thrombose</v>
      </c>
      <c r="D45" s="48" t="str">
        <f>'Examens accrédités et ajouts'!F58</f>
        <v>Plasma</v>
      </c>
      <c r="E45" s="182" t="str">
        <f>'Examens accrédités et ajouts'!Q58</f>
        <v xml:space="preserve">BM CB02 _ A _ Immunoenzymatique (ELFA) _ Quantitatif _ Automatisée _ 1 _ BIOMERIEUX
Vidas 3 N° VN04565 (HCN)
</v>
      </c>
      <c r="F45" s="48" t="str">
        <f>'Examens accrédités et ajouts'!L58</f>
        <v>27508 v4</v>
      </c>
      <c r="G45" s="48" t="str">
        <f>'Examens accrédités et ajouts'!M58</f>
        <v>Suppression du Vidas back-up et Changement d'indication de pour les D-Dimères ELFA à partir du 21/01/2025</v>
      </c>
    </row>
    <row r="46" spans="1:7" hidden="1" x14ac:dyDescent="0.2">
      <c r="A46" s="48" t="str">
        <f>'Examens accrédités et ajouts'!A59</f>
        <v>HOPITAL CHARLES NICOLLE CHU ROUEN</v>
      </c>
      <c r="B46" s="48" t="str">
        <f>'Examens accrédités et ajouts'!B59</f>
        <v>Hématologie</v>
      </c>
      <c r="C46" s="48" t="str">
        <f>'Examens accrédités et ajouts'!E59</f>
        <v>Volume moyen plaquettaire</v>
      </c>
      <c r="D46" s="48" t="str">
        <f>'Examens accrédités et ajouts'!F59</f>
        <v>Sang</v>
      </c>
      <c r="E46" s="182" t="str">
        <f>'Examens accrédités et ajouts'!Q59</f>
        <v>BM HB01 _ A _ Impédance en cytométrie à volume fixe calibré (référence : cellule de Malassez) _ Quantitatif _ Automatisée _ 3 _ SYSMEX XN10</v>
      </c>
      <c r="F46" s="48" t="str">
        <f>'Examens accrédités et ajouts'!L59</f>
        <v>9899 v14</v>
      </c>
      <c r="G46" s="48" t="str">
        <f>'Examens accrédités et ajouts'!M59</f>
        <v xml:space="preserve">Paramètre de la NFS
</v>
      </c>
    </row>
    <row r="47" spans="1:7" hidden="1" x14ac:dyDescent="0.2">
      <c r="A47" s="48" t="str">
        <f>'Examens accrédités et ajouts'!A60</f>
        <v>HOPITAL CHARLES NICOLLE CHU ROUEN</v>
      </c>
      <c r="B47" s="48" t="str">
        <f>'Examens accrédités et ajouts'!B60</f>
        <v>Hématologie</v>
      </c>
      <c r="C47" s="48" t="str">
        <f>'Examens accrédités et ajouts'!E60</f>
        <v>Volume globulaire moyen</v>
      </c>
      <c r="D47" s="48" t="str">
        <f>'Examens accrédités et ajouts'!F60</f>
        <v>Sang</v>
      </c>
      <c r="E47" s="182" t="str">
        <f>'Examens accrédités et ajouts'!Q60</f>
        <v>BM HB01 _ A _ Le volume globulaire moyen est calculé à partir du taux d'hématocrite et de la numération des globules rouges sur sang total. _ Quantitatif _ Automatisée _ 3 _ SYSMEX XN10</v>
      </c>
      <c r="F47" s="48" t="str">
        <f>'Examens accrédités et ajouts'!L60</f>
        <v>9899 v14</v>
      </c>
      <c r="G47" s="48" t="str">
        <f>'Examens accrédités et ajouts'!M60</f>
        <v xml:space="preserve">Paramètre de la NFS
</v>
      </c>
    </row>
    <row r="48" spans="1:7" hidden="1" x14ac:dyDescent="0.2">
      <c r="A48" s="48" t="str">
        <f>'Examens accrédités et ajouts'!A61</f>
        <v>HOPITAL CHARLES NICOLLE CHU ROUEN</v>
      </c>
      <c r="B48" s="48" t="str">
        <f>'Examens accrédités et ajouts'!B61</f>
        <v>Hématologie</v>
      </c>
      <c r="C48" s="48" t="str">
        <f>'Examens accrédités et ajouts'!E61</f>
        <v>Polynucléaires Basophiles</v>
      </c>
      <c r="D48" s="48" t="str">
        <f>'Examens accrédités et ajouts'!F61</f>
        <v>Sang</v>
      </c>
      <c r="E48" s="182" t="str">
        <f>'Examens accrédités et ajouts'!Q61</f>
        <v>BM HB01 _ A _ Diffraction optique en cytométrie de flux avec laser semi-conducteur et fluorescence. _ Quantitatif _ Automatisée _ 3 _ SYSMEX XN10</v>
      </c>
      <c r="F48" s="48" t="str">
        <f>'Examens accrédités et ajouts'!L61</f>
        <v>9899 v14</v>
      </c>
      <c r="G48" s="48" t="str">
        <f>'Examens accrédités et ajouts'!M61</f>
        <v xml:space="preserve">Paramètre de la NFS
</v>
      </c>
    </row>
    <row r="49" spans="1:7" hidden="1" x14ac:dyDescent="0.2">
      <c r="A49" s="48" t="str">
        <f>'Examens accrédités et ajouts'!A62</f>
        <v>HOPITAL CHARLES NICOLLE CHU ROUEN</v>
      </c>
      <c r="B49" s="48" t="str">
        <f>'Examens accrédités et ajouts'!B62</f>
        <v>Hématologie</v>
      </c>
      <c r="C49" s="48" t="str">
        <f>'Examens accrédités et ajouts'!E62</f>
        <v>Plaquettes</v>
      </c>
      <c r="D49" s="48" t="str">
        <f>'Examens accrédités et ajouts'!F62</f>
        <v>Sang</v>
      </c>
      <c r="E49" s="182" t="str">
        <f>'Examens accrédités et ajouts'!Q62</f>
        <v xml:space="preserve">BM HB01 _ A _ Impédance en cytométrie à volume fixe calibré (référence : cellule de Malassez)
ou
Diffraction optique en cytométrie de flux avec laser semi-conducteur et fluorescence _ Quantitatif _ Automatisée _ 3 _ SYSMEX XN10
</v>
      </c>
      <c r="F49" s="48" t="str">
        <f>'Examens accrédités et ajouts'!L62</f>
        <v>9899 v14</v>
      </c>
      <c r="G49" s="48" t="str">
        <f>'Examens accrédités et ajouts'!M62</f>
        <v xml:space="preserve">Paramètre de la NFS
</v>
      </c>
    </row>
    <row r="50" spans="1:7" hidden="1" x14ac:dyDescent="0.2">
      <c r="A50" s="48" t="str">
        <f>'Examens accrédités et ajouts'!A63</f>
        <v>HOPITAL CHARLES NICOLLE CHU ROUEN</v>
      </c>
      <c r="B50" s="48" t="str">
        <f>'Examens accrédités et ajouts'!B63</f>
        <v>Hématologie</v>
      </c>
      <c r="C50" s="48" t="str">
        <f>'Examens accrédités et ajouts'!E63</f>
        <v>Polynucléaires Eosinophiles</v>
      </c>
      <c r="D50" s="48" t="str">
        <f>'Examens accrédités et ajouts'!F63</f>
        <v>Sang</v>
      </c>
      <c r="E50" s="182" t="str">
        <f>'Examens accrédités et ajouts'!Q63</f>
        <v xml:space="preserve">BM HB01 _ A _ Diffraction optique en cytométrie de flux avec laser semi-conducteur et fluorescence. _ Quantitatif _ Automatisée _ 3 _ SYSMEX XN10
</v>
      </c>
      <c r="F50" s="48" t="str">
        <f>'Examens accrédités et ajouts'!L63</f>
        <v>9899 v14</v>
      </c>
      <c r="G50" s="48" t="str">
        <f>'Examens accrédités et ajouts'!M63</f>
        <v xml:space="preserve">Paramètre de la NFS
</v>
      </c>
    </row>
    <row r="51" spans="1:7" hidden="1" x14ac:dyDescent="0.2">
      <c r="A51" s="48" t="str">
        <f>'Examens accrédités et ajouts'!A64</f>
        <v>HOPITAL CHARLES NICOLLE CHU ROUEN</v>
      </c>
      <c r="B51" s="48" t="str">
        <f>'Examens accrédités et ajouts'!B64</f>
        <v>Hématologie</v>
      </c>
      <c r="C51" s="48" t="str">
        <f>'Examens accrédités et ajouts'!E64</f>
        <v>Hématocrite</v>
      </c>
      <c r="D51" s="48" t="str">
        <f>'Examens accrédités et ajouts'!F64</f>
        <v>Sang</v>
      </c>
      <c r="E51" s="182" t="str">
        <f>'Examens accrédités et ajouts'!Q64</f>
        <v xml:space="preserve">BM HB01 _ A _ Variation de résistivité (Impédance) en cytométrie à volume fixe calibré _ Quantitatif _ Automatisée _ 3 _ SYSMEX XN10
</v>
      </c>
      <c r="F51" s="48" t="str">
        <f>'Examens accrédités et ajouts'!L64</f>
        <v>9899 v14</v>
      </c>
      <c r="G51" s="48" t="str">
        <f>'Examens accrédités et ajouts'!M64</f>
        <v xml:space="preserve">Paramètre de la NFS
</v>
      </c>
    </row>
    <row r="52" spans="1:7" hidden="1" x14ac:dyDescent="0.2">
      <c r="A52" s="48" t="str">
        <f>'Examens accrédités et ajouts'!A65</f>
        <v>HOPITAL CHARLES NICOLLE CHU ROUEN</v>
      </c>
      <c r="B52" s="48" t="str">
        <f>'Examens accrédités et ajouts'!B65</f>
        <v>Hématologie</v>
      </c>
      <c r="C52" s="48" t="str">
        <f>'Examens accrédités et ajouts'!E65</f>
        <v xml:space="preserve">Polynucléaires Neutrophiles </v>
      </c>
      <c r="D52" s="48" t="str">
        <f>'Examens accrédités et ajouts'!F65</f>
        <v>Sang</v>
      </c>
      <c r="E52" s="182" t="str">
        <f>'Examens accrédités et ajouts'!Q65</f>
        <v xml:space="preserve">BM HB01 _ A _ Diffraction optique en cytométrie de flux avec laser semi-conducteur et fluorescence. _ Quantitatif _ Automatisée _ 3 _ SYSMEX XN10
</v>
      </c>
      <c r="F52" s="48" t="str">
        <f>'Examens accrédités et ajouts'!L65</f>
        <v>9899 v14</v>
      </c>
      <c r="G52" s="48" t="str">
        <f>'Examens accrédités et ajouts'!M65</f>
        <v xml:space="preserve">Paramètre de la NFS
</v>
      </c>
    </row>
    <row r="53" spans="1:7" hidden="1" x14ac:dyDescent="0.2">
      <c r="A53" s="48" t="str">
        <f>'Examens accrédités et ajouts'!A66</f>
        <v>HOPITAL CHARLES NICOLLE CHU ROUEN</v>
      </c>
      <c r="B53" s="48" t="str">
        <f>'Examens accrédités et ajouts'!B66</f>
        <v>Hématologie</v>
      </c>
      <c r="C53" s="48" t="str">
        <f>'Examens accrédités et ajouts'!E66</f>
        <v>Hémoglobine</v>
      </c>
      <c r="D53" s="48" t="str">
        <f>'Examens accrédités et ajouts'!F66</f>
        <v>Sang</v>
      </c>
      <c r="E53" s="182" t="str">
        <f>'Examens accrédités et ajouts'!Q66</f>
        <v xml:space="preserve">BM HB01 _ A _ Photométrie par une dilution dans une cuve spécifique _ Quantitatif _ Automatisée _ 3 _ SYSMEX XN10
</v>
      </c>
      <c r="F53" s="48" t="str">
        <f>'Examens accrédités et ajouts'!L66</f>
        <v>9899 v14</v>
      </c>
      <c r="G53" s="48" t="str">
        <f>'Examens accrédités et ajouts'!M66</f>
        <v xml:space="preserve">Paramètre de la NFS
</v>
      </c>
    </row>
    <row r="54" spans="1:7" hidden="1" x14ac:dyDescent="0.2">
      <c r="A54" s="48" t="str">
        <f>'Examens accrédités et ajouts'!A67</f>
        <v>HOPITAL CHARLES NICOLLE CHU ROUEN</v>
      </c>
      <c r="B54" s="48" t="str">
        <f>'Examens accrédités et ajouts'!B67</f>
        <v>Hématologie</v>
      </c>
      <c r="C54" s="48" t="str">
        <f>'Examens accrédités et ajouts'!E67</f>
        <v>Indice de distribution des globules rouges</v>
      </c>
      <c r="D54" s="48" t="str">
        <f>'Examens accrédités et ajouts'!F67</f>
        <v>Sang</v>
      </c>
      <c r="E54" s="182" t="str">
        <f>'Examens accrédités et ajouts'!Q67</f>
        <v xml:space="preserve">BM HB01 _ A _ Impédance en cytométrie à volume fixe calibré. _ Quantitatif _ Automatisée _ 3 _ SYSMEX XN10
</v>
      </c>
      <c r="F54" s="48" t="str">
        <f>'Examens accrédités et ajouts'!L67</f>
        <v>9899 v14</v>
      </c>
      <c r="G54" s="48" t="str">
        <f>'Examens accrédités et ajouts'!M67</f>
        <v xml:space="preserve">Paramètre de la NFS
</v>
      </c>
    </row>
    <row r="55" spans="1:7" hidden="1" x14ac:dyDescent="0.2">
      <c r="A55" s="48" t="str">
        <f>'Examens accrédités et ajouts'!A68</f>
        <v>HOPITAL CHARLES NICOLLE CHU ROUEN</v>
      </c>
      <c r="B55" s="48" t="str">
        <f>'Examens accrédités et ajouts'!B68</f>
        <v>Hématologie</v>
      </c>
      <c r="C55" s="48" t="str">
        <f>'Examens accrédités et ajouts'!E68</f>
        <v>Globules Rouges</v>
      </c>
      <c r="D55" s="48" t="str">
        <f>'Examens accrédités et ajouts'!F68</f>
        <v>Sang</v>
      </c>
      <c r="E55" s="182" t="str">
        <f>'Examens accrédités et ajouts'!Q68</f>
        <v xml:space="preserve">BM HB01 _ A _ Impédance en cytométrie à volume fixe calibré. _ Quantitatif _ Automatisée _ 3 _ SYSMEX XN10
</v>
      </c>
      <c r="F55" s="48" t="str">
        <f>'Examens accrédités et ajouts'!L68</f>
        <v>9899 v14</v>
      </c>
      <c r="G55" s="48" t="str">
        <f>'Examens accrédités et ajouts'!M68</f>
        <v xml:space="preserve">Paramètre de la NFS
</v>
      </c>
    </row>
    <row r="56" spans="1:7" hidden="1" x14ac:dyDescent="0.2">
      <c r="A56" s="48" t="str">
        <f>'Examens accrédités et ajouts'!A69</f>
        <v>HOPITAL CHARLES NICOLLE CHU ROUEN</v>
      </c>
      <c r="B56" s="48" t="str">
        <f>'Examens accrédités et ajouts'!B69</f>
        <v>Hématologie</v>
      </c>
      <c r="C56" s="48" t="str">
        <f>'Examens accrédités et ajouts'!E69</f>
        <v>Concentration corpusculaire moyenne en hémoglobine</v>
      </c>
      <c r="D56" s="48" t="str">
        <f>'Examens accrédités et ajouts'!F69</f>
        <v>Sang</v>
      </c>
      <c r="E56" s="182" t="str">
        <f>'Examens accrédités et ajouts'!Q69</f>
        <v xml:space="preserve">BM HB01 _ A _ La CCMH est calculée à partir du taux d'hémoglobine et d'hématocrite.  _ Quantitatif _ Automatisée _ 3 _ SYSMEX XN10
</v>
      </c>
      <c r="F56" s="48" t="str">
        <f>'Examens accrédités et ajouts'!L69</f>
        <v>9899 v14</v>
      </c>
      <c r="G56" s="48" t="str">
        <f>'Examens accrédités et ajouts'!M69</f>
        <v xml:space="preserve">Paramètre de la NFS
</v>
      </c>
    </row>
    <row r="57" spans="1:7" hidden="1" x14ac:dyDescent="0.2">
      <c r="A57" s="48" t="str">
        <f>'Examens accrédités et ajouts'!A70</f>
        <v>HOPITAL CHARLES NICOLLE CHU ROUEN</v>
      </c>
      <c r="B57" s="48" t="str">
        <f>'Examens accrédités et ajouts'!B70</f>
        <v>Hématologie</v>
      </c>
      <c r="C57" s="48" t="str">
        <f>'Examens accrédités et ajouts'!E70</f>
        <v>Monocytes</v>
      </c>
      <c r="D57" s="48" t="str">
        <f>'Examens accrédités et ajouts'!F70</f>
        <v>Sang</v>
      </c>
      <c r="E57" s="182" t="str">
        <f>'Examens accrédités et ajouts'!Q70</f>
        <v xml:space="preserve">BM HB01 _ A _ Diffraction optique en cytométrie de flux avec laser semi-conducteur et fluorescence. _ Quantitatif _ Automatisée _ 3 _ SYSMEX XN10
</v>
      </c>
      <c r="F57" s="48" t="str">
        <f>'Examens accrédités et ajouts'!L70</f>
        <v>9899 v14</v>
      </c>
      <c r="G57" s="48" t="str">
        <f>'Examens accrédités et ajouts'!M70</f>
        <v xml:space="preserve">Paramètre de la NFS
</v>
      </c>
    </row>
    <row r="58" spans="1:7" hidden="1" x14ac:dyDescent="0.2">
      <c r="A58" s="48" t="str">
        <f>'Examens accrédités et ajouts'!A71</f>
        <v>HOPITAL CHARLES NICOLLE CHU ROUEN</v>
      </c>
      <c r="B58" s="48" t="str">
        <f>'Examens accrédités et ajouts'!B71</f>
        <v>Hématologie</v>
      </c>
      <c r="C58" s="48" t="str">
        <f>'Examens accrédités et ajouts'!E71</f>
        <v xml:space="preserve">Lymphocytes </v>
      </c>
      <c r="D58" s="48" t="str">
        <f>'Examens accrédités et ajouts'!F71</f>
        <v>Sang</v>
      </c>
      <c r="E58" s="182" t="str">
        <f>'Examens accrédités et ajouts'!Q71</f>
        <v xml:space="preserve">BM HB01 _ A _ Diffraction optique en cytométrie de flux avec laser semi-conducteur et fluorescence. _ Quantitatif _ Automatisée _ 3 _ SYSMEX XN10
</v>
      </c>
      <c r="F58" s="48" t="str">
        <f>'Examens accrédités et ajouts'!L71</f>
        <v>9899 v14</v>
      </c>
      <c r="G58" s="48" t="str">
        <f>'Examens accrédités et ajouts'!M71</f>
        <v xml:space="preserve">Paramètre de la NFS
</v>
      </c>
    </row>
    <row r="59" spans="1:7" hidden="1" x14ac:dyDescent="0.2">
      <c r="A59" s="48" t="str">
        <f>'Examens accrédités et ajouts'!A72</f>
        <v>HOPITAL CHARLES NICOLLE CHU ROUEN</v>
      </c>
      <c r="B59" s="48" t="str">
        <f>'Examens accrédités et ajouts'!B72</f>
        <v>Hématologie</v>
      </c>
      <c r="C59" s="48" t="str">
        <f>'Examens accrédités et ajouts'!E72</f>
        <v>Globules Blancs</v>
      </c>
      <c r="D59" s="48" t="str">
        <f>'Examens accrédités et ajouts'!F72</f>
        <v>Sang</v>
      </c>
      <c r="E59" s="182" t="str">
        <f>'Examens accrédités et ajouts'!Q72</f>
        <v xml:space="preserve">BM HB01 _ A _ Diffraction optique (laser semi-conducteur) en cytométrie de flux et fluorescence. _ Quantitatif _ Automatisée _ 3 _ SYSMEX XN10
</v>
      </c>
      <c r="F59" s="48" t="str">
        <f>'Examens accrédités et ajouts'!L72</f>
        <v>9899 v14</v>
      </c>
      <c r="G59" s="48" t="str">
        <f>'Examens accrédités et ajouts'!M72</f>
        <v xml:space="preserve">Paramètre de la NFS
</v>
      </c>
    </row>
    <row r="60" spans="1:7" hidden="1" x14ac:dyDescent="0.2">
      <c r="A60" s="48" t="str">
        <f>'Examens accrédités et ajouts'!A73</f>
        <v>HOPITAL CHARLES NICOLLE CHU ROUEN</v>
      </c>
      <c r="B60" s="48" t="str">
        <f>'Examens accrédités et ajouts'!B73</f>
        <v>Hématologie</v>
      </c>
      <c r="C60" s="48" t="str">
        <f>'Examens accrédités et ajouts'!E73</f>
        <v>Teneur corpusculaire moyenne en hémoglobine</v>
      </c>
      <c r="D60" s="48" t="str">
        <f>'Examens accrédités et ajouts'!F73</f>
        <v>Sang</v>
      </c>
      <c r="E60" s="182" t="str">
        <f>'Examens accrédités et ajouts'!Q73</f>
        <v xml:space="preserve">BM HB01 _ A _ La TCMH est calculée à partir du taux d'hémoglobine et du nombre de globules rouges.  _ Quantitatif _ Automatisée _ 3 _ SYSMEX XN10
</v>
      </c>
      <c r="F60" s="48" t="str">
        <f>'Examens accrédités et ajouts'!L73</f>
        <v>9899 v14</v>
      </c>
      <c r="G60" s="48" t="str">
        <f>'Examens accrédités et ajouts'!M73</f>
        <v xml:space="preserve">Paramètre de la NFS
</v>
      </c>
    </row>
    <row r="61" spans="1:7" hidden="1" x14ac:dyDescent="0.2">
      <c r="A61" s="48" t="str">
        <f>'Examens accrédités et ajouts'!A74</f>
        <v>HOPITAL CHARLES NICOLLE CHU ROUEN</v>
      </c>
      <c r="B61" s="48" t="str">
        <f>'Examens accrédités et ajouts'!B74</f>
        <v>Hématologie</v>
      </c>
      <c r="C61" s="48" t="str">
        <f>'Examens accrédités et ajouts'!E74</f>
        <v>Indice de distribution plaquettaire</v>
      </c>
      <c r="D61" s="48" t="str">
        <f>'Examens accrédités et ajouts'!F74</f>
        <v>Sang</v>
      </c>
      <c r="E61" s="182" t="str">
        <f>'Examens accrédités et ajouts'!Q74</f>
        <v xml:space="preserve">BM HB01 _ A _ Impédance en cytométrie à volume fixe calibré (référence : cellule de Malassez)
 _ Quantitatif _ Automatisée _ 3 _ SYSMEX XN10
</v>
      </c>
      <c r="F61" s="48" t="str">
        <f>'Examens accrédités et ajouts'!L74</f>
        <v>9899 v14</v>
      </c>
      <c r="G61" s="48" t="str">
        <f>'Examens accrédités et ajouts'!M74</f>
        <v xml:space="preserve">Paramètre de la NFS
</v>
      </c>
    </row>
    <row r="62" spans="1:7" hidden="1" x14ac:dyDescent="0.2">
      <c r="A62" s="48" t="str">
        <f>'Examens accrédités et ajouts'!A75</f>
        <v>HOPITAL CHARLES NICOLLE CHU ROUEN</v>
      </c>
      <c r="B62" s="48" t="str">
        <f>'Examens accrédités et ajouts'!B75</f>
        <v>Hématologie</v>
      </c>
      <c r="C62" s="48" t="str">
        <f>'Examens accrédités et ajouts'!E75</f>
        <v>Plaquettes sur  tube citrate</v>
      </c>
      <c r="D62" s="48" t="str">
        <f>'Examens accrédités et ajouts'!F75</f>
        <v>Sang</v>
      </c>
      <c r="E62" s="182" t="str">
        <f>'Examens accrédités et ajouts'!Q75</f>
        <v xml:space="preserve">BM HB01 _ A _ Impédance en cytométrie à volume fixe calibré (référence : cellule de Malassez)
ou
Diffraction optique en cytométrie de flux avec laser semi-conducteur et fluorescence _ Quantitatif _ Automatisée _ 3 _ SYSMEX XN10
</v>
      </c>
      <c r="F62" s="48" t="str">
        <f>'Examens accrédités et ajouts'!L75</f>
        <v>9899 v14</v>
      </c>
      <c r="G62" s="48" t="str">
        <f>'Examens accrédités et ajouts'!M75</f>
        <v xml:space="preserve">Paramètre de la NFS
</v>
      </c>
    </row>
    <row r="63" spans="1:7" hidden="1" x14ac:dyDescent="0.2">
      <c r="A63" s="48" t="str">
        <f>'Examens accrédités et ajouts'!A76</f>
        <v>HOPITAL CHARLES NICOLLE CHU ROUEN</v>
      </c>
      <c r="B63" s="48" t="str">
        <f>'Examens accrédités et ajouts'!B76</f>
        <v>Hématologie</v>
      </c>
      <c r="C63" s="48" t="str">
        <f>'Examens accrédités et ajouts'!E76</f>
        <v>Globules rouges optiques</v>
      </c>
      <c r="D63" s="48" t="str">
        <f>'Examens accrédités et ajouts'!F76</f>
        <v>Sang</v>
      </c>
      <c r="E63" s="182" t="str">
        <f>'Examens accrédités et ajouts'!Q76</f>
        <v>BM HB01 _ A _ Méthode de détection par l’optique _ Quantitatif _ Automatisée _ 2 _ SYSMEX XN10</v>
      </c>
      <c r="F63" s="48" t="str">
        <f>'Examens accrédités et ajouts'!L76</f>
        <v>9899 v14</v>
      </c>
      <c r="G63" s="48" t="str">
        <f>'Examens accrédités et ajouts'!M76</f>
        <v xml:space="preserve">Paramètre de la NFS
</v>
      </c>
    </row>
    <row r="64" spans="1:7" hidden="1" x14ac:dyDescent="0.2">
      <c r="A64" s="48" t="str">
        <f>'Examens accrédités et ajouts'!A77</f>
        <v>HOPITAL CHARLES NICOLLE CHU ROUEN</v>
      </c>
      <c r="B64" s="48" t="str">
        <f>'Examens accrédités et ajouts'!B77</f>
        <v>Hématologie</v>
      </c>
      <c r="C64" s="48" t="str">
        <f>'Examens accrédités et ajouts'!E77</f>
        <v>Morphologie érythrocytaire</v>
      </c>
      <c r="D64" s="48" t="str">
        <f>'Examens accrédités et ajouts'!F77</f>
        <v>Sang</v>
      </c>
      <c r="E64" s="182" t="str">
        <f>'Examens accrédités et ajouts'!Q77</f>
        <v xml:space="preserve">BM HB01 _ A _ Etude de la morphologie des hématies sur frottis sanguin au microscope. _ Qualitatif _ Manuelle _  _ </v>
      </c>
      <c r="F64" s="48" t="str">
        <f>'Examens accrédités et ajouts'!L77</f>
        <v>14907 V2</v>
      </c>
      <c r="G64" s="48">
        <f>'Examens accrédités et ajouts'!M77</f>
        <v>0</v>
      </c>
    </row>
    <row r="65" spans="1:7" hidden="1" x14ac:dyDescent="0.2">
      <c r="A65" s="48" t="str">
        <f>'Examens accrédités et ajouts'!A78</f>
        <v>HOPITAL CHARLES NICOLLE CHU ROUEN</v>
      </c>
      <c r="B65" s="48" t="str">
        <f>'Examens accrédités et ajouts'!B78</f>
        <v>Hématologie</v>
      </c>
      <c r="C65" s="48" t="str">
        <f>'Examens accrédités et ajouts'!E78</f>
        <v>Formule sanguine en micrscopie optique</v>
      </c>
      <c r="D65" s="48" t="str">
        <f>'Examens accrédités et ajouts'!F78</f>
        <v>Sang</v>
      </c>
      <c r="E65" s="182" t="str">
        <f>'Examens accrédités et ajouts'!Q78</f>
        <v xml:space="preserve">BM HB01 _ A _ Microscopie optique _ Qualitatif _ Manuelle _  _ </v>
      </c>
      <c r="F65" s="48" t="str">
        <f>'Examens accrédités et ajouts'!L78</f>
        <v>14907 v2</v>
      </c>
      <c r="G65" s="48">
        <f>'Examens accrédités et ajouts'!M78</f>
        <v>0</v>
      </c>
    </row>
    <row r="66" spans="1:7" hidden="1" x14ac:dyDescent="0.2">
      <c r="A66" s="48" t="str">
        <f>'Examens accrédités et ajouts'!A79</f>
        <v>HOPITAL CHARLES NICOLLE CHU ROUEN</v>
      </c>
      <c r="B66" s="48" t="str">
        <f>'Examens accrédités et ajouts'!B79</f>
        <v>Anatomie et cytologie pathologiques</v>
      </c>
      <c r="C66" s="48" t="str">
        <f>'Examens accrédités et ajouts'!E79</f>
        <v>EGFR / HER2 : recherche des insertions / duplications / délétions dans les exons 19 et 20 de l'EGFR et 20 d'HER2 par analyse de fragment</v>
      </c>
      <c r="D66" s="48" t="str">
        <f>'Examens accrédités et ajouts'!F79</f>
        <v>ADN génomique tumoral extrait à partir de tissu représentatif de la tumeur primitive ou de sa métastase (Bloc FFPE)</v>
      </c>
      <c r="E66" s="182" t="str">
        <f>'Examens accrédités et ajouts'!Q79</f>
        <v xml:space="preserve">AC GS01 _ B _ PCR et Analyse des fragments d'amplification par électrophorèse capillaire. _ Qualitatif _ Semi-automatisée _ 1 _ Séquenceur automatique d'ADN 3500, Applied Biosystems </v>
      </c>
      <c r="F66" s="48" t="str">
        <f>'Examens accrédités et ajouts'!L79</f>
        <v>27452 v4
32219</v>
      </c>
      <c r="G66" s="48">
        <f>'Examens accrédités et ajouts'!M79</f>
        <v>0</v>
      </c>
    </row>
    <row r="67" spans="1:7" hidden="1" x14ac:dyDescent="0.2">
      <c r="A67" s="48" t="str">
        <f>'Examens accrédités et ajouts'!A80</f>
        <v>HOPITAL CHARLES NICOLLE CHU ROUEN</v>
      </c>
      <c r="B67" s="48" t="str">
        <f>'Examens accrédités et ajouts'!B80</f>
        <v>Anatomie et cytologie pathologiques</v>
      </c>
      <c r="C67" s="48" t="str">
        <f>'Examens accrédités et ajouts'!E80</f>
        <v>KRAS / BRAF : Recherche des mutations de l'exon 2 du gène KRAS et de l'exon 15 du gène BRAF SNaPshot</v>
      </c>
      <c r="D67" s="48" t="str">
        <f>'Examens accrédités et ajouts'!F80</f>
        <v xml:space="preserve">Tissu représentatif de la tumeur primitive ou de sa métastase </v>
      </c>
      <c r="E67" s="182" t="str">
        <f>'Examens accrédités et ajouts'!Q80</f>
        <v xml:space="preserve">AC GS01 _ B _ PCR et Extension d'amorces par SNaPshot à partir des produits d'amplification du gène  _ Qualitatif _ Semi-automatisée _ 1 _ Séquenceur automatique d'ADN 3500, Applied Biosystems </v>
      </c>
      <c r="F67" s="48" t="str">
        <f>'Examens accrédités et ajouts'!L80</f>
        <v>17112 v3
17116 v3
32219</v>
      </c>
      <c r="G67" s="48">
        <f>'Examens accrédités et ajouts'!M80</f>
        <v>0</v>
      </c>
    </row>
    <row r="68" spans="1:7" hidden="1" x14ac:dyDescent="0.2">
      <c r="A68" s="48" t="str">
        <f>'Examens accrédités et ajouts'!A81</f>
        <v>HOPITAL CHARLES NICOLLE CHU ROUEN</v>
      </c>
      <c r="B68" s="48" t="str">
        <f>'Examens accrédités et ajouts'!B81</f>
        <v>Anatomie et cytologie pathologiques</v>
      </c>
      <c r="C68" s="48" t="str">
        <f>'Examens accrédités et ajouts'!E81</f>
        <v>KRAS / NRAS  : Recherche des mutations des exons 3 et 4 du gène KRAS et des exons 2, 3 et 4 du gène NRAS</v>
      </c>
      <c r="D68" s="48" t="str">
        <f>'Examens accrédités et ajouts'!F81</f>
        <v xml:space="preserve">Tissu représentatif de la tumeur primitive ou de sa métastase </v>
      </c>
      <c r="E68" s="182" t="str">
        <f>'Examens accrédités et ajouts'!Q81</f>
        <v xml:space="preserve">AC GS01 _ B _ PCR et Extension d'amorces par SNaPshot à partir des produits d'amplification du gène  _ Qualitatif _ Semi-automatisée _ 1 _ Séquenceur automatique d'ADN 3500, Applied Biosystems </v>
      </c>
      <c r="F68" s="48" t="str">
        <f>'Examens accrédités et ajouts'!L81</f>
        <v>17112 v3
17114  v3
32219</v>
      </c>
      <c r="G68" s="48">
        <f>'Examens accrédités et ajouts'!M81</f>
        <v>0</v>
      </c>
    </row>
    <row r="69" spans="1:7" hidden="1" x14ac:dyDescent="0.2">
      <c r="A69" s="48" t="str">
        <f>'Examens accrédités et ajouts'!A82</f>
        <v>HOPITAL CHARLES NICOLLE CHU ROUEN</v>
      </c>
      <c r="B69" s="48" t="str">
        <f>'Examens accrédités et ajouts'!B82</f>
        <v>Anatomie et cytologie pathologiques</v>
      </c>
      <c r="C69" s="48" t="str">
        <f>'Examens accrédités et ajouts'!E82</f>
        <v>BRAF : Recherche des mutations du codon 600 du gène BRAF SNaPshot</v>
      </c>
      <c r="D69" s="48" t="str">
        <f>'Examens accrédités et ajouts'!F82</f>
        <v xml:space="preserve">Tissu représentatif de la tumeur primitive ou de sa métastase </v>
      </c>
      <c r="E69" s="182" t="str">
        <f>'Examens accrédités et ajouts'!Q82</f>
        <v xml:space="preserve">AC GS01 _ B _ PCR et Extension d'amorces par SNaPshot à partir des produits d'amplification du gène _ Qualitatif _ Semi-automatisée _ 1 _ Séquenceur automatique d'ADN 3500, Applied Biosystems </v>
      </c>
      <c r="F69" s="48" t="str">
        <f>'Examens accrédités et ajouts'!L82</f>
        <v xml:space="preserve">17112  v3
15045 v2
32219
</v>
      </c>
      <c r="G69" s="48">
        <f>'Examens accrédités et ajouts'!M82</f>
        <v>0</v>
      </c>
    </row>
    <row r="70" spans="1:7" hidden="1" x14ac:dyDescent="0.2">
      <c r="A70" s="48" t="str">
        <f>'Examens accrédités et ajouts'!A83</f>
        <v>HOPITAL CHARLES NICOLLE CHU ROUEN</v>
      </c>
      <c r="B70" s="48" t="str">
        <f>'Examens accrédités et ajouts'!B83</f>
        <v>Anatomie et cytologie pathologiques</v>
      </c>
      <c r="C70" s="48" t="str">
        <f>'Examens accrédités et ajouts'!E83</f>
        <v>EGFR / KRAS: recherche de mutations ponctuelles au niveau des exons 18, 20 et 21 de l'EGFR et 2 de KRAS par la technique d'extension d'amorce par SNaPshot</v>
      </c>
      <c r="D70" s="48" t="str">
        <f>'Examens accrédités et ajouts'!F83</f>
        <v xml:space="preserve">Tissu représentatif de la tumeur primitive ou de sa métastase </v>
      </c>
      <c r="E70" s="182" t="str">
        <f>'Examens accrédités et ajouts'!Q83</f>
        <v xml:space="preserve">AC GS01 _ B _ PCR et Extension d'amorces par SNaPshot à partir des produits d'amplification du gène _ Qualitatif _ Semi-automatisée _ 1 _ Séquenceur automatique d'ADN 3500, Applied Biosystems </v>
      </c>
      <c r="F70" s="48" t="str">
        <f>'Examens accrédités et ajouts'!L83</f>
        <v>17112 v3
17115 v3
32219</v>
      </c>
      <c r="G70" s="48">
        <f>'Examens accrédités et ajouts'!M83</f>
        <v>0</v>
      </c>
    </row>
    <row r="71" spans="1:7" hidden="1" x14ac:dyDescent="0.2">
      <c r="A71" s="48" t="str">
        <f>'Examens accrédités et ajouts'!A84</f>
        <v>HOPITAL CHARLES NICOLLE CHU ROUEN</v>
      </c>
      <c r="B71" s="48" t="str">
        <f>'Examens accrédités et ajouts'!B84</f>
        <v>Anatomie et cytologie pathologiques</v>
      </c>
      <c r="C71" s="48" t="str">
        <f>'Examens accrédités et ajouts'!E84</f>
        <v>COBAS EGFR Mutation test</v>
      </c>
      <c r="D71" s="48" t="str">
        <f>'Examens accrédités et ajouts'!F84</f>
        <v>Tissus fixés au formol et inclus en paraffine correspondant au diagnostic d'adénocarcinome du poumon.</v>
      </c>
      <c r="E71" s="182" t="str">
        <f>'Examens accrédités et ajouts'!Q84</f>
        <v>AC GS01 _ B _ PCR en temps réel à partir d'un couple d'amorces et en présence de sondes oligonucléotidiques marquées par des fluorochromes  _ Qualitatif _ Automatisée _ 1 _ cobas z 480 analyzer</v>
      </c>
      <c r="F71" s="48" t="str">
        <f>'Examens accrédités et ajouts'!L84</f>
        <v>32307 v1
32219</v>
      </c>
      <c r="G71" s="48">
        <f>'Examens accrédités et ajouts'!M84</f>
        <v>0</v>
      </c>
    </row>
    <row r="72" spans="1:7" hidden="1" x14ac:dyDescent="0.2">
      <c r="A72" s="48" t="str">
        <f>'Examens accrédités et ajouts'!A85</f>
        <v>HOPITAL CHARLES NICOLLE CHU ROUEN</v>
      </c>
      <c r="B72" s="48" t="str">
        <f>'Examens accrédités et ajouts'!B85</f>
        <v>Anatomie et cytologie pathologiques</v>
      </c>
      <c r="C72" s="48" t="str">
        <f>'Examens accrédités et ajouts'!E85</f>
        <v>IDYLLA RAS-BRAF mutation test</v>
      </c>
      <c r="D72" s="48" t="str">
        <f>'Examens accrédités et ajouts'!F85</f>
        <v>Tissus fixés au formol et inclus en paraffine de cancers colorectaux humains</v>
      </c>
      <c r="E72" s="182" t="str">
        <f>'Examens accrédités et ajouts'!Q85</f>
        <v>AC GS01 _ A _ Libération des acides nucléiques puis amplification des acides nucléiques libérés par PCR en temps réel. Détection par fluorescence _ Qualitatif _ Automatisée _ 2 _ IdyllaTM, Biocartis</v>
      </c>
      <c r="F72" s="48" t="str">
        <f>'Examens accrédités et ajouts'!L85</f>
        <v>30854 v3
32219</v>
      </c>
      <c r="G72" s="48">
        <f>'Examens accrédités et ajouts'!M85</f>
        <v>0</v>
      </c>
    </row>
    <row r="73" spans="1:7" hidden="1" x14ac:dyDescent="0.2">
      <c r="A73" s="48" t="str">
        <f>'Examens accrédités et ajouts'!A86</f>
        <v>HOPITAL CHARLES NICOLLE CHU ROUEN</v>
      </c>
      <c r="B73" s="48" t="str">
        <f>'Examens accrédités et ajouts'!B86</f>
        <v>Anatomie et cytologie pathologiques</v>
      </c>
      <c r="C73" s="48" t="str">
        <f>'Examens accrédités et ajouts'!E86</f>
        <v>Examen histologique - Observation morphologique de constituants tissulaires et cellulaires</v>
      </c>
      <c r="D73" s="48" t="str">
        <f>'Examens accrédités et ajouts'!F86</f>
        <v xml:space="preserve">Lame comportant une coupe de tissu d'origine humaine fixé au formol et inclu en paraffine </v>
      </c>
      <c r="E73" s="182" t="str">
        <f>'Examens accrédités et ajouts'!Q86</f>
        <v>AC HA01 _ B _ Coloration standard HES _ Qualitatif _ Automatisée _ 4 _ Automate de Coloration SAKURA PRISMA</v>
      </c>
      <c r="F73" s="48" t="str">
        <f>'Examens accrédités et ajouts'!L86</f>
        <v>27469 v3</v>
      </c>
      <c r="G73" s="48">
        <f>'Examens accrédités et ajouts'!M86</f>
        <v>0</v>
      </c>
    </row>
    <row r="74" spans="1:7" hidden="1" x14ac:dyDescent="0.2">
      <c r="A74" s="48" t="str">
        <f>'Examens accrédités et ajouts'!A87</f>
        <v>HOPITAL CHARLES NICOLLE CHU ROUEN</v>
      </c>
      <c r="B74" s="48" t="str">
        <f>'Examens accrédités et ajouts'!B87</f>
        <v>Bactériologie</v>
      </c>
      <c r="C74" s="48" t="str">
        <f>'Examens accrédités et ajouts'!E87</f>
        <v>Recherche d'ADN bactérien de Bordetella perussis (PCR)</v>
      </c>
      <c r="D74" s="48" t="str">
        <f>'Examens accrédités et ajouts'!F87</f>
        <v>Prélèvements broncho-pulmonaires, Culture bactérienne</v>
      </c>
      <c r="E74" s="182" t="str">
        <f>'Examens accrédités et ajouts'!Q87</f>
        <v>BM BA02 _ B _ Détection d'acides nucléiques (PCR)-Biologie moléculaire _ Qualitatif _ Semi-automatisée _ 2 _ Extraction: EZ 1 Qiagen
PCR temps réel: CFX96 Biorad</v>
      </c>
      <c r="F74" s="48" t="str">
        <f>'Examens accrédités et ajouts'!L87</f>
        <v>14934 v2
rev 34166v1</v>
      </c>
      <c r="G74" s="48">
        <f>'Examens accrédités et ajouts'!M87</f>
        <v>0</v>
      </c>
    </row>
    <row r="75" spans="1:7" hidden="1" x14ac:dyDescent="0.2">
      <c r="A75" s="48" t="str">
        <f>'Examens accrédités et ajouts'!A88</f>
        <v>HOPITAL CHARLES NICOLLE CHU ROUEN</v>
      </c>
      <c r="B75" s="48" t="str">
        <f>'Examens accrédités et ajouts'!B88</f>
        <v>Bactériologie</v>
      </c>
      <c r="C75" s="48" t="str">
        <f>'Examens accrédités et ajouts'!E88</f>
        <v>Mise en culture pour recherche et identification de germes bactériens</v>
      </c>
      <c r="D75" s="48" t="str">
        <f>'Examens accrédités et ajouts'!F88</f>
        <v>Echantillons biologiques d'origine humaine et dispositifs implantables</v>
      </c>
      <c r="E75" s="182" t="str">
        <f>'Examens accrédités et ajouts'!Q88</f>
        <v xml:space="preserve">BM MG11 _ A _ Mise en culture (ensemencement) _ Qualitatif _ Manuelle _  _ </v>
      </c>
      <c r="F75" s="48" t="str">
        <f>'Examens accrédités et ajouts'!L88</f>
        <v>16790 v1
rev 26064v2</v>
      </c>
      <c r="G75" s="48" t="str">
        <f>'Examens accrédités et ajouts'!M88</f>
        <v>suite en MG12</v>
      </c>
    </row>
    <row r="76" spans="1:7" hidden="1" x14ac:dyDescent="0.2">
      <c r="A76" s="48" t="str">
        <f>'Examens accrédités et ajouts'!A89</f>
        <v>HOPITAL CHARLES NICOLLE CHU ROUEN</v>
      </c>
      <c r="B76" s="48" t="str">
        <f>'Examens accrédités et ajouts'!B89</f>
        <v>Bactériologie</v>
      </c>
      <c r="C76" s="48" t="str">
        <f>'Examens accrédités et ajouts'!E89</f>
        <v>Mise en culture automatisée pour recherche et identification de germes bactériens</v>
      </c>
      <c r="D76" s="48" t="str">
        <f>'Examens accrédités et ajouts'!F89</f>
        <v xml:space="preserve">Echantillons biologiques d'origine humaine  </v>
      </c>
      <c r="E76" s="182" t="str">
        <f>'Examens accrédités et ajouts'!Q89</f>
        <v>BM MG11 _ A _ Mise en culture (ensemencement) _ Qualitatif _ Automatisée _ 2 _ Automate PreLUD (I2A)</v>
      </c>
      <c r="F76" s="48" t="str">
        <f>'Examens accrédités et ajouts'!L89</f>
        <v>28050 v2
rev 34127v1</v>
      </c>
      <c r="G76" s="48" t="str">
        <f>'Examens accrédités et ajouts'!M89</f>
        <v>suite en MG12</v>
      </c>
    </row>
    <row r="77" spans="1:7" hidden="1" x14ac:dyDescent="0.2">
      <c r="A77" s="48" t="str">
        <f>'Examens accrédités et ajouts'!A90</f>
        <v>HOPITAL CHARLES NICOLLE CHU ROUEN</v>
      </c>
      <c r="B77" s="48" t="str">
        <f>'Examens accrédités et ajouts'!B90</f>
        <v>Bactériologie</v>
      </c>
      <c r="C77" s="48" t="str">
        <f>'Examens accrédités et ajouts'!E90</f>
        <v>Identification automatisée de germes bactériens</v>
      </c>
      <c r="D77" s="48" t="str">
        <f>'Examens accrédités et ajouts'!F90</f>
        <v xml:space="preserve">Tout échantillon biologique d'origine humaine, dispositif implantable, culture bactérienne </v>
      </c>
      <c r="E77" s="182" t="str">
        <f>'Examens accrédités et ajouts'!Q90</f>
        <v>BM MG11 _ A _ Détermination phénotypique après culture.
Colorimétrie _ Qualitatif _ Automatisée _ 1 _ Automate Vitek2 (Bio Mérieux)</v>
      </c>
      <c r="F77" s="48" t="str">
        <f>'Examens accrédités et ajouts'!L90</f>
        <v>14882 v3
rev 26076v3</v>
      </c>
      <c r="G77" s="48" t="str">
        <f>'Examens accrédités et ajouts'!M90</f>
        <v>suite en MG12</v>
      </c>
    </row>
    <row r="78" spans="1:7" hidden="1" x14ac:dyDescent="0.2">
      <c r="A78" s="48" t="str">
        <f>'Examens accrédités et ajouts'!A91</f>
        <v>HOPITAL CHARLES NICOLLE CHU ROUEN</v>
      </c>
      <c r="B78" s="48" t="str">
        <f>'Examens accrédités et ajouts'!B91</f>
        <v>Bactériologie</v>
      </c>
      <c r="C78" s="48" t="str">
        <f>'Examens accrédités et ajouts'!E91</f>
        <v xml:space="preserve">Recherche et identification manuelle de germes bactériens et/ou de bactéries spécifiques </v>
      </c>
      <c r="D78" s="48" t="str">
        <f>'Examens accrédités et ajouts'!F91</f>
        <v xml:space="preserve">Tout échantillon biologique d'origine humaine, dispositif implantable, culture bactérienne </v>
      </c>
      <c r="E78" s="182" t="str">
        <f>'Examens accrédités et ajouts'!Q91</f>
        <v>BM MG11 _ B _ Détermination phénotypique après culture.
Morphologie,microscopie,caractérisation par spectrométrie de masse. _ Qualitatif _ Manuelle _ 2 _ Microscope
Spectromètres de masse Maldi Tof (Brucker)</v>
      </c>
      <c r="F78" s="48" t="str">
        <f>'Examens accrédités et ajouts'!L91</f>
        <v>16788 v1
30723 v1
rev 26079v5</v>
      </c>
      <c r="G78" s="48" t="str">
        <f>'Examens accrédités et ajouts'!M91</f>
        <v>suite en MG12</v>
      </c>
    </row>
    <row r="79" spans="1:7" hidden="1" x14ac:dyDescent="0.2">
      <c r="A79" s="48" t="str">
        <f>'Examens accrédités et ajouts'!A92</f>
        <v>HOPITAL CHARLES NICOLLE CHU ROUEN</v>
      </c>
      <c r="B79" s="48" t="str">
        <f>'Examens accrédités et ajouts'!B92</f>
        <v>Bactériologie</v>
      </c>
      <c r="C79" s="48" t="str">
        <f>'Examens accrédités et ajouts'!E92</f>
        <v>Examen direct après coloration pour recherche de germes bactériens</v>
      </c>
      <c r="D79" s="48" t="str">
        <f>'Examens accrédités et ajouts'!F92</f>
        <v xml:space="preserve"> Echantillon biologique d'origine humaine
Autres échantillons (liés à un dispositif intra-vasculaire, liquide de dialyse, …)
Culture
</v>
      </c>
      <c r="E79" s="182" t="str">
        <f>'Examens accrédités et ajouts'!Q92</f>
        <v xml:space="preserve">BM MG11 _ A _ Examen morphologique direct macro– et microscopique à l'état frais et/ou après culture, avec ou sans préparation (coloration) _  Qualitatif _  Automatisée _ 2 _ 2 colorateurs Aérospray Gram, Elitech
1 colorateur Borealys Duo GZ Gram/Ziehl, Biocentric
1 colorateur Aérospray Auramine TB, Elitech 
</v>
      </c>
      <c r="F79" s="48" t="str">
        <f>'Examens accrédités et ajouts'!L92</f>
        <v>30391 v2</v>
      </c>
      <c r="G79" s="48" t="str">
        <f>'Examens accrédités et ajouts'!M92</f>
        <v>suite en MG12</v>
      </c>
    </row>
    <row r="80" spans="1:7" hidden="1" x14ac:dyDescent="0.2">
      <c r="A80" s="48" t="str">
        <f>'Examens accrédités et ajouts'!A93</f>
        <v>HOPITAL CHARLES NICOLLE CHU ROUEN</v>
      </c>
      <c r="B80" s="48" t="str">
        <f>'Examens accrédités et ajouts'!B93</f>
        <v>Bactériologie</v>
      </c>
      <c r="C80" s="48" t="str">
        <f>'Examens accrédités et ajouts'!E93</f>
        <v>Antibiogramme automatisé de Mycobactéries du complexe tuberculosis</v>
      </c>
      <c r="D80" s="48" t="str">
        <f>'Examens accrédités et ajouts'!F93</f>
        <v>Culture de mycobactéries du complexe tuberculosis</v>
      </c>
      <c r="E80" s="182" t="str">
        <f>'Examens accrédités et ajouts'!Q93</f>
        <v>BM MG12 _ A _ Inhibition de croissance en milieu liquide en présence d'une certaine concentration d'antibiotique(s), après incubation.
 _ Qualitatif _ Automatisée _ 1 _ Automate Bactec MGIT (Becton Dickinson)</v>
      </c>
      <c r="F80" s="48" t="str">
        <f>'Examens accrédités et ajouts'!L93</f>
        <v>14813 v1
rev 26071v3</v>
      </c>
      <c r="G80" s="48">
        <f>'Examens accrédités et ajouts'!M93</f>
        <v>0</v>
      </c>
    </row>
    <row r="81" spans="1:7" hidden="1" x14ac:dyDescent="0.2">
      <c r="A81" s="48" t="str">
        <f>'Examens accrédités et ajouts'!A94</f>
        <v>HOPITAL CHARLES NICOLLE CHU ROUEN</v>
      </c>
      <c r="B81" s="48" t="str">
        <f>'Examens accrédités et ajouts'!B94</f>
        <v>Bactériologie</v>
      </c>
      <c r="C81" s="48" t="str">
        <f>'Examens accrédités et ajouts'!E94</f>
        <v xml:space="preserve"> Antibiogramme automatisé</v>
      </c>
      <c r="D81" s="48" t="str">
        <f>'Examens accrédités et ajouts'!F94</f>
        <v xml:space="preserve">Culture bactérienne </v>
      </c>
      <c r="E81" s="182" t="str">
        <f>'Examens accrédités et ajouts'!Q94</f>
        <v>BM MG12 _ A _ Inhibition de croissance en milieu liquide en présence d'une certaine concentration d'antibiotique(s), après incubation.
 _ Qualitatif _ Automatisée _ 1 _ Automate Vitek2 (Bio Mérieux)</v>
      </c>
      <c r="F81" s="48" t="str">
        <f>'Examens accrédités et ajouts'!L94</f>
        <v>10339 v5
rev 26078v3</v>
      </c>
      <c r="G81" s="48">
        <f>'Examens accrédités et ajouts'!M94</f>
        <v>0</v>
      </c>
    </row>
    <row r="82" spans="1:7" hidden="1" x14ac:dyDescent="0.2">
      <c r="A82" s="48" t="str">
        <f>'Examens accrédités et ajouts'!A95</f>
        <v>HOPITAL CHARLES NICOLLE CHU ROUEN</v>
      </c>
      <c r="B82" s="48" t="str">
        <f>'Examens accrédités et ajouts'!B95</f>
        <v>Bactériologie</v>
      </c>
      <c r="C82" s="48" t="str">
        <f>'Examens accrédités et ajouts'!E95</f>
        <v>Antibiogramme manuel</v>
      </c>
      <c r="D82" s="48" t="str">
        <f>'Examens accrédités et ajouts'!F95</f>
        <v xml:space="preserve">Culture bactérienne </v>
      </c>
      <c r="E82" s="182" t="str">
        <f>'Examens accrédités et ajouts'!Q95</f>
        <v xml:space="preserve">BM MG12 _ A _ Méthode de diffusion en gradient de concentration en milieu gélosé.
Inhibition de croissance en présence d'une certaine concentration d'antibiotique(s)après incubation. _ Qualitatif _ Manuelle _  _ </v>
      </c>
      <c r="F82" s="48" t="str">
        <f>'Examens accrédités et ajouts'!L95</f>
        <v>14613 v6</v>
      </c>
      <c r="G82" s="48">
        <f>'Examens accrédités et ajouts'!M95</f>
        <v>0</v>
      </c>
    </row>
    <row r="83" spans="1:7" hidden="1" x14ac:dyDescent="0.2">
      <c r="A83" s="48" t="str">
        <f>'Examens accrédités et ajouts'!A96</f>
        <v>HOPITAL CHARLES NICOLLE CHU ROUEN</v>
      </c>
      <c r="B83" s="48" t="str">
        <f>'Examens accrédités et ajouts'!B96</f>
        <v>Bactériologie</v>
      </c>
      <c r="C83" s="48" t="str">
        <f>'Examens accrédités et ajouts'!E96</f>
        <v>Sérologie Syphilis</v>
      </c>
      <c r="D83" s="48" t="str">
        <f>'Examens accrédités et ajouts'!F96</f>
        <v>sérum</v>
      </c>
      <c r="E83" s="182" t="str">
        <f>'Examens accrédités et ajouts'!Q96</f>
        <v>BM MG01 _ A _ Chemiluminescence (CMIA) _ Quantitatif _ Automatisée _ 1 _ Alinity-i (Abbott)</v>
      </c>
      <c r="F83" s="48" t="str">
        <f>'Examens accrédités et ajouts'!L96</f>
        <v>30392 v1</v>
      </c>
      <c r="G83" s="48" t="str">
        <f>'Examens accrédités et ajouts'!M96</f>
        <v>ajout</v>
      </c>
    </row>
    <row r="84" spans="1:7" hidden="1" x14ac:dyDescent="0.2">
      <c r="A84" s="48" t="str">
        <f>'Examens accrédités et ajouts'!A97</f>
        <v>HOPITAL CHARLES NICOLLE CHU ROUEN</v>
      </c>
      <c r="B84" s="48" t="str">
        <f>'Examens accrédités et ajouts'!B97</f>
        <v>Bactériologie</v>
      </c>
      <c r="C84" s="48" t="str">
        <f>'Examens accrédités et ajouts'!E97</f>
        <v>Antigénurie Légionelle (test rapide)</v>
      </c>
      <c r="D84" s="48" t="str">
        <f>'Examens accrédités et ajouts'!F97</f>
        <v>Urines</v>
      </c>
      <c r="E84" s="182" t="str">
        <f>'Examens accrédités et ajouts'!Q97</f>
        <v xml:space="preserve">BM MG03 _ A _ immunochromatographie et immunofluorescence _ Qualitatif _ Semi-automatisée _ 2 _  Sofia 2 (Ingen) </v>
      </c>
      <c r="F84" s="48" t="str">
        <f>'Examens accrédités et ajouts'!L97</f>
        <v>14932 v3</v>
      </c>
      <c r="G84" s="48">
        <f>'Examens accrédités et ajouts'!M97</f>
        <v>0</v>
      </c>
    </row>
    <row r="85" spans="1:7" hidden="1" x14ac:dyDescent="0.2">
      <c r="A85" s="48" t="str">
        <f>'Examens accrédités et ajouts'!A98</f>
        <v>HOPITAL CHARLES NICOLLE CHU ROUEN</v>
      </c>
      <c r="B85" s="48" t="str">
        <f>'Examens accrédités et ajouts'!B98</f>
        <v>Bactériologie</v>
      </c>
      <c r="C85" s="48" t="str">
        <f>'Examens accrédités et ajouts'!E98</f>
        <v>Antigénurie Pneumocoque (test rapide)</v>
      </c>
      <c r="D85" s="48" t="str">
        <f>'Examens accrédités et ajouts'!F98</f>
        <v>Urines / LCR</v>
      </c>
      <c r="E85" s="182" t="str">
        <f>'Examens accrédités et ajouts'!Q98</f>
        <v xml:space="preserve">BM MG03 _ A _ immunochromatographie et immunofluorescence _ Qualitatif _ Semi-automatisée _ 2 _  Sofia 2 (Ingen) </v>
      </c>
      <c r="F85" s="48" t="str">
        <f>'Examens accrédités et ajouts'!L98</f>
        <v>32354 v2</v>
      </c>
      <c r="G85" s="48">
        <f>'Examens accrédités et ajouts'!M98</f>
        <v>0</v>
      </c>
    </row>
    <row r="86" spans="1:7" hidden="1" x14ac:dyDescent="0.2">
      <c r="A86" s="48" t="str">
        <f>'Examens accrédités et ajouts'!A99</f>
        <v>HOPITAL CHARLES NICOLLE CHU ROUEN</v>
      </c>
      <c r="B86" s="48" t="str">
        <f>'Examens accrédités et ajouts'!B99</f>
        <v>Bactériologie</v>
      </c>
      <c r="C86" s="48" t="str">
        <f>'Examens accrédités et ajouts'!E99</f>
        <v>Cytologie urinaire automatisée</v>
      </c>
      <c r="D86" s="48" t="str">
        <f>'Examens accrédités et ajouts'!F99</f>
        <v>Urines</v>
      </c>
      <c r="E86" s="182" t="str">
        <f>'Examens accrédités et ajouts'!Q99</f>
        <v>BM MG07 _ A _ Cytométrie en flux _ Quantitatif _ Automatisée _ 1 _ Automate UF-4000 (BIOMERIEUX/Sysmex)</v>
      </c>
      <c r="F86" s="48" t="str">
        <f>'Examens accrédités et ajouts'!L99</f>
        <v>14883 v2</v>
      </c>
      <c r="G86" s="48" t="str">
        <f>'Examens accrédités et ajouts'!M99</f>
        <v>suite en MG11/MG12</v>
      </c>
    </row>
    <row r="87" spans="1:7" hidden="1" x14ac:dyDescent="0.2">
      <c r="A87" s="48" t="str">
        <f>'Examens accrédités et ajouts'!A100</f>
        <v>HOPITAL CHARLES NICOLLE CHU ROUEN</v>
      </c>
      <c r="B87" s="48" t="str">
        <f>'Examens accrédités et ajouts'!B100</f>
        <v>Bactériologie</v>
      </c>
      <c r="C87" s="48" t="str">
        <f>'Examens accrédités et ajouts'!E100</f>
        <v>Cytologie des liquides de ponction automatisée</v>
      </c>
      <c r="D87" s="48" t="str">
        <f>'Examens accrédités et ajouts'!F100</f>
        <v>Liquides biologiques : pleural, ascite, LCR, articulaire, dialyse péritonéale</v>
      </c>
      <c r="E87" s="182" t="str">
        <f>'Examens accrédités et ajouts'!Q100</f>
        <v>BM MG07 _ A _ Cytométrie en flux _ Quantitatif _ Automatisée _ 1 _ Automate UF-4000 (BIOMERIEUX/Sysmex)</v>
      </c>
      <c r="F87" s="48" t="str">
        <f>'Examens accrédités et ajouts'!L100</f>
        <v>35359 v1</v>
      </c>
      <c r="G87" s="48" t="str">
        <f>'Examens accrédités et ajouts'!M100</f>
        <v>suite en MG11/MG12</v>
      </c>
    </row>
    <row r="88" spans="1:7" hidden="1" x14ac:dyDescent="0.2">
      <c r="A88" s="48" t="str">
        <f>'Examens accrédités et ajouts'!A101</f>
        <v>HOPITAL CHARLES NICOLLE CHU ROUEN</v>
      </c>
      <c r="B88" s="48" t="str">
        <f>'Examens accrédités et ajouts'!B101</f>
        <v>Bactériologie</v>
      </c>
      <c r="C88" s="48" t="str">
        <f>'Examens accrédités et ajouts'!E101</f>
        <v>Recherche automatisée de mycobactéries en milieu liquide sur Bactec MGIT.</v>
      </c>
      <c r="D88" s="48" t="str">
        <f>'Examens accrédités et ajouts'!F101</f>
        <v>Tout échantillon biologique d'origine humaine, sauf urines, sang et dérivés.</v>
      </c>
      <c r="E88" s="182" t="str">
        <f>'Examens accrédités et ajouts'!Q101</f>
        <v>BM MG08 _ A _ Analyse chimique après culture par fluorescence _ Qualitatif _ Automatisée _ 1 _ Automate Bactec MGIT (Becton Dickinson)</v>
      </c>
      <c r="F88" s="48" t="str">
        <f>'Examens accrédités et ajouts'!L101</f>
        <v>14881 v2
rev 26062v3</v>
      </c>
      <c r="G88" s="48" t="str">
        <f>'Examens accrédités et ajouts'!M101</f>
        <v>suite en MG11/MG12</v>
      </c>
    </row>
    <row r="89" spans="1:7" hidden="1" x14ac:dyDescent="0.2">
      <c r="A89" s="48" t="str">
        <f>'Examens accrédités et ajouts'!A102</f>
        <v>HOPITAL CHARLES NICOLLE CHU ROUEN</v>
      </c>
      <c r="B89" s="48" t="str">
        <f>'Examens accrédités et ajouts'!B102</f>
        <v>Bactériologie</v>
      </c>
      <c r="C89" s="48" t="str">
        <f>'Examens accrédités et ajouts'!E102</f>
        <v xml:space="preserve">Recherche automatisée de germes bactériens et/ou de bactéries spécifiques dans les liquides biologiques d'origine humaine </v>
      </c>
      <c r="D89" s="48" t="str">
        <f>'Examens accrédités et ajouts'!F102</f>
        <v>Sang et dérivés, liquide biologique d'origine humaine</v>
      </c>
      <c r="E89" s="182" t="str">
        <f>'Examens accrédités et ajouts'!Q102</f>
        <v>BM MG08 _ A _ Fluorométrie _ Qualitatif _ Automatisée _ 5 modules  _ Automate Bactec 3D FX  (Becton, Dickinson)</v>
      </c>
      <c r="F89" s="48" t="str">
        <f>'Examens accrédités et ajouts'!L102</f>
        <v>14843 v3
rev 26093v3</v>
      </c>
      <c r="G89" s="48" t="str">
        <f>'Examens accrédités et ajouts'!M102</f>
        <v>suite en MG11/MG12</v>
      </c>
    </row>
    <row r="90" spans="1:7" hidden="1" x14ac:dyDescent="0.2">
      <c r="A90" s="48" t="str">
        <f>'Examens accrédités et ajouts'!A103</f>
        <v>HOPITAL CHARLES NICOLLE CHU ROUEN</v>
      </c>
      <c r="B90" s="48" t="str">
        <f>'Examens accrédités et ajouts'!B103</f>
        <v>Bactériologie</v>
      </c>
      <c r="C90" s="48" t="str">
        <f>'Examens accrédités et ajouts'!E103</f>
        <v>Test quantiféron : recherche de tuberculose latente</v>
      </c>
      <c r="D90" s="48" t="str">
        <f>'Examens accrédités et ajouts'!F103</f>
        <v>serum</v>
      </c>
      <c r="E90" s="182" t="str">
        <f>'Examens accrédités et ajouts'!Q103</f>
        <v>BM MG14 _ A _ Recherche d'IFN gamma en réponse à stimulation antigénique par immuno-chimiluminescence _ qualitatif _ automatisée _ 1 _ LIAISON XL</v>
      </c>
      <c r="F90" s="48" t="str">
        <f>'Examens accrédités et ajouts'!L103</f>
        <v>30388 v3</v>
      </c>
      <c r="G90" s="48" t="str">
        <f>'Examens accrédités et ajouts'!M103</f>
        <v>extension 2019 auditée en mai 2024</v>
      </c>
    </row>
    <row r="91" spans="1:7" hidden="1" x14ac:dyDescent="0.2">
      <c r="A91" s="48" t="str">
        <f>'Examens accrédités et ajouts'!A104</f>
        <v>HOPITAL CHARLES NICOLLE CHU ROUEN</v>
      </c>
      <c r="B91" s="48" t="str">
        <f>'Examens accrédités et ajouts'!B104</f>
        <v>Bactériologie</v>
      </c>
      <c r="C91" s="48" t="str">
        <f>'Examens accrédités et ajouts'!E104</f>
        <v>Recherche de Clostridium difficile toxinogène</v>
      </c>
      <c r="D91" s="48" t="str">
        <f>'Examens accrédités et ajouts'!F104</f>
        <v>selles ou colonies après culture</v>
      </c>
      <c r="E91" s="182" t="str">
        <f>'Examens accrédités et ajouts'!Q104</f>
        <v>BM BA01 _ A _ Recherche et identification de toxines et
d’antigènes bactériens par immuno-chimiluminescence
 _ qualitatif _ automatisée _ 1 _ LIAISON XL</v>
      </c>
      <c r="F91" s="48" t="str">
        <f>'Examens accrédités et ajouts'!L104</f>
        <v>30389 v2</v>
      </c>
      <c r="G91" s="48" t="str">
        <f>'Examens accrédités et ajouts'!M104</f>
        <v>extension 2019 auditée en mai 2024</v>
      </c>
    </row>
    <row r="92" spans="1:7" hidden="1" x14ac:dyDescent="0.2">
      <c r="A92" s="48" t="str">
        <f>'Examens accrédités et ajouts'!A105</f>
        <v>HOPITAL CHARLES NICOLLE CHU ROUEN</v>
      </c>
      <c r="B92" s="48" t="str">
        <f>'Examens accrédités et ajouts'!B105</f>
        <v>Biochimie Générale</v>
      </c>
      <c r="C92" s="48" t="str">
        <f>'Examens accrédités et ajouts'!E105</f>
        <v>Delta-4 androstènedione sérique</v>
      </c>
      <c r="D92" s="48" t="str">
        <f>'Examens accrédités et ajouts'!F105</f>
        <v>Sang</v>
      </c>
      <c r="E92" s="182" t="str">
        <f>'Examens accrédités et ajouts'!Q105</f>
        <v>BM BB02 _ B _ Chromatographie liquide couplée à la spectrométrie de masse en tandem LC-MS/MS _ Quantitatif _ Automatisée _ 1 _ spectromètre de masse LCMS 8060 Shimadzu couplé à une chaîne HPLC Nexera X2 Shimadzu</v>
      </c>
      <c r="F92" s="48" t="str">
        <f>'Examens accrédités et ajouts'!L105</f>
        <v>34829 v1</v>
      </c>
      <c r="G92" s="48">
        <f>'Examens accrédités et ajouts'!M105</f>
        <v>0</v>
      </c>
    </row>
    <row r="93" spans="1:7" hidden="1" x14ac:dyDescent="0.2">
      <c r="A93" s="48" t="str">
        <f>'Examens accrédités et ajouts'!A106</f>
        <v>HOPITAL CHARLES NICOLLE CHU ROUEN</v>
      </c>
      <c r="B93" s="48" t="str">
        <f>'Examens accrédités et ajouts'!B106</f>
        <v>Biochimie Générale</v>
      </c>
      <c r="C93" s="48" t="str">
        <f>'Examens accrédités et ajouts'!E106</f>
        <v>Testostérone sérique</v>
      </c>
      <c r="D93" s="48" t="str">
        <f>'Examens accrédités et ajouts'!F106</f>
        <v>Sang</v>
      </c>
      <c r="E93" s="182" t="str">
        <f>'Examens accrédités et ajouts'!Q106</f>
        <v>BM BB02 _ B _ Chromatographie liquide couplée à la spectrométrie de masse en tandem LC-MS/MS _ Quantitatif _ Automatisée _ 1 _ spectromètre de masse LCMS 8060 Shimadzu couplé à une chaîne HPLC Nexera X2 Shimadzu</v>
      </c>
      <c r="F93" s="48" t="str">
        <f>'Examens accrédités et ajouts'!L106</f>
        <v>34827 v1</v>
      </c>
      <c r="G93" s="48">
        <f>'Examens accrédités et ajouts'!M106</f>
        <v>0</v>
      </c>
    </row>
    <row r="94" spans="1:7" hidden="1" x14ac:dyDescent="0.2">
      <c r="A94" s="48" t="str">
        <f>'Examens accrédités et ajouts'!A107</f>
        <v>HOPITAL CHARLES NICOLLE CHU ROUEN</v>
      </c>
      <c r="B94" s="48" t="str">
        <f>'Examens accrédités et ajouts'!B107</f>
        <v>Biochimie Générale</v>
      </c>
      <c r="C94" s="48" t="str">
        <f>'Examens accrédités et ajouts'!E107</f>
        <v>17-OH progestérone sérique</v>
      </c>
      <c r="D94" s="48" t="str">
        <f>'Examens accrédités et ajouts'!F107</f>
        <v>Sang</v>
      </c>
      <c r="E94" s="182" t="str">
        <f>'Examens accrédités et ajouts'!Q107</f>
        <v>BM BB02 _ B _ Chromatographie liquide couplée à la spectrométrie de masse en tandem LC-MS/MS _ Quantitatif _ Automatisée _ 1 _ spectromètre de masse LCMS 8060 Shimadzu couplé à une chaîne HPLC Nexera X2 Shimadzu</v>
      </c>
      <c r="F94" s="48" t="str">
        <f>'Examens accrédités et ajouts'!L107</f>
        <v>34830 v1</v>
      </c>
      <c r="G94" s="48">
        <f>'Examens accrédités et ajouts'!M107</f>
        <v>0</v>
      </c>
    </row>
    <row r="95" spans="1:7" hidden="1" x14ac:dyDescent="0.2">
      <c r="A95" s="48" t="str">
        <f>'Examens accrédités et ajouts'!A108</f>
        <v>HOPITAL CHARLES NICOLLE CHU ROUEN</v>
      </c>
      <c r="B95" s="48" t="str">
        <f>'Examens accrédités et ajouts'!B108</f>
        <v>Biochimie Générale</v>
      </c>
      <c r="C95" s="48" t="str">
        <f>'Examens accrédités et ajouts'!E108</f>
        <v>Cortisol salivaire</v>
      </c>
      <c r="D95" s="48" t="str">
        <f>'Examens accrédités et ajouts'!F108</f>
        <v>Salive</v>
      </c>
      <c r="E95" s="182" t="str">
        <f>'Examens accrédités et ajouts'!Q108</f>
        <v xml:space="preserve">BM BB02 _ B _ Chromatographie liquide couplée à la spectrométrie de masse en tandem LC-MS/MS _ Quantitatif _ Automatisée _ 1 _ spectromètre de masse LCMS 8060 Shimadzu couplé à une chaîne HPLC Nexera X2 Shimadzu </v>
      </c>
      <c r="F95" s="48" t="str">
        <f>'Examens accrédités et ajouts'!L108</f>
        <v>37453 v1</v>
      </c>
      <c r="G95" s="48">
        <f>'Examens accrédités et ajouts'!M108</f>
        <v>0</v>
      </c>
    </row>
    <row r="96" spans="1:7" hidden="1" x14ac:dyDescent="0.2">
      <c r="A96" s="48" t="str">
        <f>'Examens accrédités et ajouts'!A109</f>
        <v>HOPITAL CHARLES NICOLLE CHU ROUEN</v>
      </c>
      <c r="B96" s="48" t="str">
        <f>'Examens accrédités et ajouts'!B109</f>
        <v>Biochimie Générale</v>
      </c>
      <c r="C96" s="48" t="str">
        <f>'Examens accrédités et ajouts'!E109</f>
        <v>Cortisol urinaire</v>
      </c>
      <c r="D96" s="48" t="str">
        <f>'Examens accrédités et ajouts'!F109</f>
        <v>Urine</v>
      </c>
      <c r="E96" s="182" t="str">
        <f>'Examens accrédités et ajouts'!Q109</f>
        <v xml:space="preserve">BM BB02 _ B _ Chromatographie liquide couplée à la spectrométrie de masse en tandem LC-MS/MS _ Quantitatif _ Automatisée _ 1 _ spectromètre de masse LCMS 8060 Shimadzu couplé à une chaîne HPLC Nexera X2 Shimadzu </v>
      </c>
      <c r="F96" s="48" t="str">
        <f>'Examens accrédités et ajouts'!L109</f>
        <v>37453 v1</v>
      </c>
      <c r="G96" s="48">
        <f>'Examens accrédités et ajouts'!M109</f>
        <v>0</v>
      </c>
    </row>
    <row r="97" spans="1:7" hidden="1" x14ac:dyDescent="0.2">
      <c r="A97" s="48" t="str">
        <f>'Examens accrédités et ajouts'!A110</f>
        <v>HOPITAL CHARLES NICOLLE CHU ROUEN</v>
      </c>
      <c r="B97" s="48" t="str">
        <f>'Examens accrédités et ajouts'!B110</f>
        <v>Biochimie Générale</v>
      </c>
      <c r="C97" s="48" t="str">
        <f>'Examens accrédités et ajouts'!E110</f>
        <v>T3 libre</v>
      </c>
      <c r="D97" s="48" t="str">
        <f>'Examens accrédités et ajouts'!F110</f>
        <v>Sang</v>
      </c>
      <c r="E97" s="182" t="str">
        <f>'Examens accrédités et ajouts'!Q110</f>
        <v xml:space="preserve">BM BB01 _ A _ Electrochimiluminescence _ Quantitatif _ Automatisée _ 1 _ Cobas Pro Roche
</v>
      </c>
      <c r="F97" s="48" t="str">
        <f>'Examens accrédités et ajouts'!L110</f>
        <v>15087 v003</v>
      </c>
      <c r="G97" s="48" t="str">
        <f>'Examens accrédités et ajouts'!M110</f>
        <v xml:space="preserve">Changement automate:  mise en production le 25/9/24 </v>
      </c>
    </row>
    <row r="98" spans="1:7" hidden="1" x14ac:dyDescent="0.2">
      <c r="A98" s="48" t="str">
        <f>'Examens accrédités et ajouts'!A111</f>
        <v>HOPITAL CHARLES NICOLLE CHU ROUEN</v>
      </c>
      <c r="B98" s="48" t="str">
        <f>'Examens accrédités et ajouts'!B111</f>
        <v>Biochimie Générale</v>
      </c>
      <c r="C98" s="48" t="str">
        <f>'Examens accrédités et ajouts'!E111</f>
        <v>Hormone folliculo-stimulante (FSH)</v>
      </c>
      <c r="D98" s="48" t="str">
        <f>'Examens accrédités et ajouts'!F111</f>
        <v>Sang</v>
      </c>
      <c r="E98" s="182" t="str">
        <f>'Examens accrédités et ajouts'!Q111</f>
        <v xml:space="preserve">BM BB01 _ A _ Electrochimiluminescence _ Quantitatif _ Automatisée _ 1 _ Cobas Pro Roche
</v>
      </c>
      <c r="F98" s="48" t="str">
        <f>'Examens accrédités et ajouts'!L111</f>
        <v>17186 v4</v>
      </c>
      <c r="G98" s="48" t="str">
        <f>'Examens accrédités et ajouts'!M111</f>
        <v xml:space="preserve">Changement automate:  mise en production le 25/9/24 </v>
      </c>
    </row>
    <row r="99" spans="1:7" hidden="1" x14ac:dyDescent="0.2">
      <c r="A99" s="48" t="str">
        <f>'Examens accrédités et ajouts'!A112</f>
        <v>HOPITAL CHARLES NICOLLE CHU ROUEN</v>
      </c>
      <c r="B99" s="48" t="str">
        <f>'Examens accrédités et ajouts'!B112</f>
        <v>Biochimie Générale</v>
      </c>
      <c r="C99" s="48" t="str">
        <f>'Examens accrédités et ajouts'!E112</f>
        <v xml:space="preserve">IgG </v>
      </c>
      <c r="D99" s="48" t="str">
        <f>'Examens accrédités et ajouts'!F112</f>
        <v>Sang</v>
      </c>
      <c r="E99" s="182" t="str">
        <f>'Examens accrédités et ajouts'!Q112</f>
        <v>BM BB01 _ A _ Immunonéphélémétrie _ Quantitatif _ Automatisée _ 1 _ Optilite de The Binding Site</v>
      </c>
      <c r="F99" s="48" t="str">
        <f>'Examens accrédités et ajouts'!L112</f>
        <v>22258 v3</v>
      </c>
      <c r="G99" s="48">
        <f>'Examens accrédités et ajouts'!M112</f>
        <v>0</v>
      </c>
    </row>
    <row r="100" spans="1:7" hidden="1" x14ac:dyDescent="0.2">
      <c r="A100" s="48" t="str">
        <f>'Examens accrédités et ajouts'!A113</f>
        <v>HOPITAL CHARLES NICOLLE CHU ROUEN</v>
      </c>
      <c r="B100" s="48" t="str">
        <f>'Examens accrédités et ajouts'!B113</f>
        <v>Biochimie Générale</v>
      </c>
      <c r="C100" s="48" t="str">
        <f>'Examens accrédités et ajouts'!E113</f>
        <v>IgM</v>
      </c>
      <c r="D100" s="48" t="str">
        <f>'Examens accrédités et ajouts'!F113</f>
        <v>Sang</v>
      </c>
      <c r="E100" s="182" t="str">
        <f>'Examens accrédités et ajouts'!Q113</f>
        <v>BM BB01 _ A _ Immunonéphélémétrie _ Quantitatif _ Automatisée _ 1 _ Optilite de The Binding Site</v>
      </c>
      <c r="F100" s="48" t="str">
        <f>'Examens accrédités et ajouts'!L113</f>
        <v>36409 v1</v>
      </c>
      <c r="G100" s="48">
        <f>'Examens accrédités et ajouts'!M113</f>
        <v>0</v>
      </c>
    </row>
    <row r="101" spans="1:7" hidden="1" x14ac:dyDescent="0.2">
      <c r="A101" s="48" t="str">
        <f>'Examens accrédités et ajouts'!A114</f>
        <v>HOPITAL CHARLES NICOLLE CHU ROUEN</v>
      </c>
      <c r="B101" s="48" t="str">
        <f>'Examens accrédités et ajouts'!B114</f>
        <v>Biochimie Générale</v>
      </c>
      <c r="C101" s="48" t="str">
        <f>'Examens accrédités et ajouts'!E114</f>
        <v>IgA</v>
      </c>
      <c r="D101" s="48" t="str">
        <f>'Examens accrédités et ajouts'!F114</f>
        <v>Sang</v>
      </c>
      <c r="E101" s="182" t="str">
        <f>'Examens accrédités et ajouts'!Q114</f>
        <v>BM BB01 _ A _ Immunonéphélémétrie _ Quantitatif _ Automatisée _ 1 _ Optilite de The Binding Site</v>
      </c>
      <c r="F101" s="48" t="str">
        <f>'Examens accrédités et ajouts'!L114</f>
        <v>22259 v3</v>
      </c>
      <c r="G101" s="48">
        <f>'Examens accrédités et ajouts'!M114</f>
        <v>0</v>
      </c>
    </row>
    <row r="102" spans="1:7" hidden="1" x14ac:dyDescent="0.2">
      <c r="A102" s="48" t="str">
        <f>'Examens accrédités et ajouts'!A115</f>
        <v>HOPITAL CHARLES NICOLLE CHU ROUEN</v>
      </c>
      <c r="B102" s="48" t="str">
        <f>'Examens accrédités et ajouts'!B115</f>
        <v>Biochimie Générale</v>
      </c>
      <c r="C102" s="48" t="str">
        <f>'Examens accrédités et ajouts'!E115</f>
        <v>Transthyrétine</v>
      </c>
      <c r="D102" s="48" t="str">
        <f>'Examens accrédités et ajouts'!F115</f>
        <v>Sang</v>
      </c>
      <c r="E102" s="182" t="str">
        <f>'Examens accrédités et ajouts'!Q115</f>
        <v>BM BB01 _ A _ Immunonéphélémétrie _ Quantitatif _ Automatisée _ 1 _ Optilite de The Binding Site</v>
      </c>
      <c r="F102" s="48" t="str">
        <f>'Examens accrédités et ajouts'!L115</f>
        <v>22261 v4</v>
      </c>
      <c r="G102" s="48">
        <f>'Examens accrédités et ajouts'!M115</f>
        <v>0</v>
      </c>
    </row>
    <row r="103" spans="1:7" hidden="1" x14ac:dyDescent="0.2">
      <c r="A103" s="48" t="str">
        <f>'Examens accrédités et ajouts'!A116</f>
        <v>HOPITAL CHARLES NICOLLE CHU ROUEN</v>
      </c>
      <c r="B103" s="48" t="str">
        <f>'Examens accrédités et ajouts'!B116</f>
        <v>Biochimie Générale</v>
      </c>
      <c r="C103" s="48" t="str">
        <f>'Examens accrédités et ajouts'!E116</f>
        <v>Alpha 1 antitrypsine sérique</v>
      </c>
      <c r="D103" s="48" t="str">
        <f>'Examens accrédités et ajouts'!F116</f>
        <v>Sang</v>
      </c>
      <c r="E103" s="182" t="str">
        <f>'Examens accrédités et ajouts'!Q116</f>
        <v>BM BB01 _ A _ Immunonéphélémétrie  _ Quantitatif _ Automatisée _ 1 _ Optilite de The Binding Site</v>
      </c>
      <c r="F103" s="48" t="str">
        <f>'Examens accrédités et ajouts'!L116</f>
        <v>25640 v5</v>
      </c>
      <c r="G103" s="48">
        <f>'Examens accrédités et ajouts'!M116</f>
        <v>0</v>
      </c>
    </row>
    <row r="104" spans="1:7" hidden="1" x14ac:dyDescent="0.2">
      <c r="A104" s="48" t="str">
        <f>'Examens accrédités et ajouts'!A117</f>
        <v>HOPITAL CHARLES NICOLLE CHU ROUEN</v>
      </c>
      <c r="B104" s="48" t="str">
        <f>'Examens accrédités et ajouts'!B117</f>
        <v>Biochimie Générale</v>
      </c>
      <c r="C104" s="48" t="str">
        <f>'Examens accrédités et ajouts'!E117</f>
        <v>Béta-crosslaps</v>
      </c>
      <c r="D104" s="48" t="str">
        <f>'Examens accrédités et ajouts'!F117</f>
        <v>Sang</v>
      </c>
      <c r="E104" s="182" t="str">
        <f>'Examens accrédités et ajouts'!Q117</f>
        <v xml:space="preserve">BM BB01 _ A _ Electrochimiluminescence _ Quantitatif _ Automatisée _ 1 _ Cobas Pro Roche
</v>
      </c>
      <c r="F104" s="48" t="str">
        <f>'Examens accrédités et ajouts'!L117</f>
        <v>27737 v2</v>
      </c>
      <c r="G104" s="48" t="str">
        <f>'Examens accrédités et ajouts'!M117</f>
        <v xml:space="preserve">Changement automate:  mise en production le 25/9/24 </v>
      </c>
    </row>
    <row r="105" spans="1:7" hidden="1" x14ac:dyDescent="0.2">
      <c r="A105" s="48" t="str">
        <f>'Examens accrédités et ajouts'!A118</f>
        <v>HOPITAL CHARLES NICOLLE CHU ROUEN</v>
      </c>
      <c r="B105" s="48" t="str">
        <f>'Examens accrédités et ajouts'!B118</f>
        <v>Biochimie Générale</v>
      </c>
      <c r="C105" s="48" t="str">
        <f>'Examens accrédités et ajouts'!E118</f>
        <v>AMH sanguin</v>
      </c>
      <c r="D105" s="48" t="str">
        <f>'Examens accrédités et ajouts'!F118</f>
        <v>Sang</v>
      </c>
      <c r="E105" s="182" t="str">
        <f>'Examens accrédités et ajouts'!Q118</f>
        <v xml:space="preserve">BM BB01 _ A _ Electrochimiluminescence utilisant deux anticorps monoclonaux spécifiques _ Quantitatif _ Automatisée _ 1 _ Cobas Pro Roche
</v>
      </c>
      <c r="F105" s="48" t="str">
        <f>'Examens accrédités et ajouts'!L118</f>
        <v>30400 v2</v>
      </c>
      <c r="G105" s="48" t="str">
        <f>'Examens accrédités et ajouts'!M118</f>
        <v xml:space="preserve">Changement automate:  mise en production le 25/9/24 </v>
      </c>
    </row>
    <row r="106" spans="1:7" hidden="1" x14ac:dyDescent="0.2">
      <c r="A106" s="48" t="str">
        <f>'Examens accrédités et ajouts'!A119</f>
        <v>HOPITAL CHARLES NICOLLE CHU ROUEN</v>
      </c>
      <c r="B106" s="48" t="str">
        <f>'Examens accrédités et ajouts'!B119</f>
        <v>Biochimie Générale</v>
      </c>
      <c r="C106" s="48" t="str">
        <f>'Examens accrédités et ajouts'!E119</f>
        <v>Haptoglobine</v>
      </c>
      <c r="D106" s="48" t="str">
        <f>'Examens accrédités et ajouts'!F119</f>
        <v>Sang</v>
      </c>
      <c r="E106" s="182" t="str">
        <f>'Examens accrédités et ajouts'!Q119</f>
        <v xml:space="preserve">BM BB01 _ A _ Immunoturbidimétrie _ Quantitatif _ Automatisée _ 2 _ Cobas Pro Roche
</v>
      </c>
      <c r="F106" s="48" t="str">
        <f>'Examens accrédités et ajouts'!L119</f>
        <v>10672 v4</v>
      </c>
      <c r="G106" s="48" t="str">
        <f>'Examens accrédités et ajouts'!M119</f>
        <v>Changement automate:  mise en production le 25/9/24 et le 16/12/2024</v>
      </c>
    </row>
    <row r="107" spans="1:7" hidden="1" x14ac:dyDescent="0.2">
      <c r="A107" s="48" t="str">
        <f>'Examens accrédités et ajouts'!A120</f>
        <v>HOPITAL CHARLES NICOLLE CHU ROUEN</v>
      </c>
      <c r="B107" s="48" t="str">
        <f>'Examens accrédités et ajouts'!B120</f>
        <v>Biochimie Générale</v>
      </c>
      <c r="C107" s="48" t="str">
        <f>'Examens accrédités et ajouts'!E120</f>
        <v>Cortisol</v>
      </c>
      <c r="D107" s="48" t="str">
        <f>'Examens accrédités et ajouts'!F120</f>
        <v>Sang</v>
      </c>
      <c r="E107" s="182" t="str">
        <f>'Examens accrédités et ajouts'!Q120</f>
        <v xml:space="preserve">BM BB01 _ A _ Electrochimiluminescence _ Quantitatif _ Automatisée _ 1 _ Cobas Pro Roche
</v>
      </c>
      <c r="F107" s="48" t="str">
        <f>'Examens accrédités et ajouts'!L120</f>
        <v>15006 v003</v>
      </c>
      <c r="G107" s="48" t="str">
        <f>'Examens accrédités et ajouts'!M120</f>
        <v xml:space="preserve">Changement automate:  mise en production le 25/9/24 </v>
      </c>
    </row>
    <row r="108" spans="1:7" hidden="1" x14ac:dyDescent="0.2">
      <c r="A108" s="48" t="str">
        <f>'Examens accrédités et ajouts'!A121</f>
        <v>HOPITAL CHARLES NICOLLE CHU ROUEN</v>
      </c>
      <c r="B108" s="48" t="str">
        <f>'Examens accrédités et ajouts'!B121</f>
        <v>Biochimie Générale</v>
      </c>
      <c r="C108" s="48" t="str">
        <f>'Examens accrédités et ajouts'!E121</f>
        <v>Estradiol femme</v>
      </c>
      <c r="D108" s="48" t="str">
        <f>'Examens accrédités et ajouts'!F121</f>
        <v>Sang</v>
      </c>
      <c r="E108" s="182" t="str">
        <f>'Examens accrédités et ajouts'!Q121</f>
        <v xml:space="preserve">BM BB01 _ A _ Electrochimiluminescence _ Quantitatif _ Automatisée _ 2 _ Cobas Pro Roche
</v>
      </c>
      <c r="F108" s="48" t="str">
        <f>'Examens accrédités et ajouts'!L121</f>
        <v>15041 v003</v>
      </c>
      <c r="G108" s="48" t="str">
        <f>'Examens accrédités et ajouts'!M121</f>
        <v xml:space="preserve">Changement automate:  mise en production le 25/9/24 </v>
      </c>
    </row>
    <row r="109" spans="1:7" hidden="1" x14ac:dyDescent="0.2">
      <c r="A109" s="48" t="str">
        <f>'Examens accrédités et ajouts'!A122</f>
        <v>HOPITAL CHARLES NICOLLE CHU ROUEN</v>
      </c>
      <c r="B109" s="48" t="str">
        <f>'Examens accrédités et ajouts'!B122</f>
        <v>Biochimie Générale</v>
      </c>
      <c r="C109" s="48" t="str">
        <f>'Examens accrédités et ajouts'!E122</f>
        <v>Procalcitonine</v>
      </c>
      <c r="D109" s="48" t="str">
        <f>'Examens accrédités et ajouts'!F122</f>
        <v>Sang</v>
      </c>
      <c r="E109" s="182" t="str">
        <f>'Examens accrédités et ajouts'!Q122</f>
        <v xml:space="preserve">BM BB01 _ A _ Electrochimiluminescence _ Quantitatif _ Automatisée _ 2 _ Cobas Pro Roche
</v>
      </c>
      <c r="F109" s="48" t="str">
        <f>'Examens accrédités et ajouts'!L122</f>
        <v>14870 v004</v>
      </c>
      <c r="G109" s="48" t="str">
        <f>'Examens accrédités et ajouts'!M122</f>
        <v>Changement automate:  mise en production le 25/9/24 et le 16/12/2024</v>
      </c>
    </row>
    <row r="110" spans="1:7" hidden="1" x14ac:dyDescent="0.2">
      <c r="A110" s="48" t="str">
        <f>'Examens accrédités et ajouts'!A123</f>
        <v>HOPITAL CHARLES NICOLLE CHU ROUEN</v>
      </c>
      <c r="B110" s="48" t="str">
        <f>'Examens accrédités et ajouts'!B123</f>
        <v>Biochimie Générale</v>
      </c>
      <c r="C110" s="48" t="str">
        <f>'Examens accrédités et ajouts'!E123</f>
        <v>T4 libre</v>
      </c>
      <c r="D110" s="48" t="str">
        <f>'Examens accrédités et ajouts'!F123</f>
        <v>Sang</v>
      </c>
      <c r="E110" s="182" t="str">
        <f>'Examens accrédités et ajouts'!Q123</f>
        <v xml:space="preserve">BM BB01 _ A _ Electrochimiluminescence _ Quantitatif _ Automatisée _ 1 _ Cobas Pro Roche
</v>
      </c>
      <c r="F110" s="48" t="str">
        <f>'Examens accrédités et ajouts'!L123</f>
        <v>15074 v004</v>
      </c>
      <c r="G110" s="48" t="str">
        <f>'Examens accrédités et ajouts'!M123</f>
        <v xml:space="preserve">Changement automate:  mise en production le 25/9/24 </v>
      </c>
    </row>
    <row r="111" spans="1:7" hidden="1" x14ac:dyDescent="0.2">
      <c r="A111" s="48" t="str">
        <f>'Examens accrédités et ajouts'!A124</f>
        <v>HOPITAL CHARLES NICOLLE CHU ROUEN</v>
      </c>
      <c r="B111" s="48" t="str">
        <f>'Examens accrédités et ajouts'!B124</f>
        <v>Biochimie Générale</v>
      </c>
      <c r="C111" s="48" t="str">
        <f>'Examens accrédités et ajouts'!E124</f>
        <v xml:space="preserve">Lactate déshydrogénase </v>
      </c>
      <c r="D111" s="48" t="str">
        <f>'Examens accrédités et ajouts'!F124</f>
        <v>Sang</v>
      </c>
      <c r="E111" s="182" t="str">
        <f>'Examens accrédités et ajouts'!Q124</f>
        <v xml:space="preserve">BM BB01 _ A _ Colorimétrie enzymatique _ Quantitatif _ Automatisée _ 2 _ Cobas Pro Roche
</v>
      </c>
      <c r="F111" s="48" t="str">
        <f>'Examens accrédités et ajouts'!L124</f>
        <v>15037 v004</v>
      </c>
      <c r="G111" s="48" t="str">
        <f>'Examens accrédités et ajouts'!M124</f>
        <v xml:space="preserve">Changement automate:  mise en production le 25/9/24 </v>
      </c>
    </row>
    <row r="112" spans="1:7" hidden="1" x14ac:dyDescent="0.2">
      <c r="A112" s="48" t="str">
        <f>'Examens accrédités et ajouts'!A125</f>
        <v>HOPITAL CHARLES NICOLLE CHU ROUEN</v>
      </c>
      <c r="B112" s="48" t="str">
        <f>'Examens accrédités et ajouts'!B125</f>
        <v>Biochimie Générale</v>
      </c>
      <c r="C112" s="48" t="str">
        <f>'Examens accrédités et ajouts'!E125</f>
        <v>Sex hormone binding globulin (SHBG)</v>
      </c>
      <c r="D112" s="48" t="str">
        <f>'Examens accrédités et ajouts'!F125</f>
        <v>Sang</v>
      </c>
      <c r="E112" s="182" t="str">
        <f>'Examens accrédités et ajouts'!Q125</f>
        <v xml:space="preserve">BM BB01 _ A _ Electrochimiluminescence _ Quantitatif _ Automatisée _ 1 _ Cobas Pro Roche
</v>
      </c>
      <c r="F112" s="48" t="str">
        <f>'Examens accrédités et ajouts'!L125</f>
        <v>17191 v2</v>
      </c>
      <c r="G112" s="48" t="str">
        <f>'Examens accrédités et ajouts'!M125</f>
        <v xml:space="preserve">Changement automate:  mise en production le 25/9/24 </v>
      </c>
    </row>
    <row r="113" spans="1:7" hidden="1" x14ac:dyDescent="0.2">
      <c r="A113" s="48" t="str">
        <f>'Examens accrédités et ajouts'!A126</f>
        <v>HOPITAL CHARLES NICOLLE CHU ROUEN</v>
      </c>
      <c r="B113" s="48" t="str">
        <f>'Examens accrédités et ajouts'!B126</f>
        <v>Biochimie Générale</v>
      </c>
      <c r="C113" s="48" t="str">
        <f>'Examens accrédités et ajouts'!E126</f>
        <v>Hormone lutéinisante (LH)</v>
      </c>
      <c r="D113" s="48" t="str">
        <f>'Examens accrédités et ajouts'!F126</f>
        <v>Sang</v>
      </c>
      <c r="E113" s="182" t="str">
        <f>'Examens accrédités et ajouts'!Q126</f>
        <v xml:space="preserve">BM BB01 _ A _ Electrochimiluminescence _ Quantitatif _ Automatisée _ 2 _ Cobas Pro Roche
</v>
      </c>
      <c r="F113" s="48" t="str">
        <f>'Examens accrédités et ajouts'!L126</f>
        <v>17187 v2</v>
      </c>
      <c r="G113" s="48" t="str">
        <f>'Examens accrédités et ajouts'!M126</f>
        <v xml:space="preserve">Changement automate:  mise en production le 25/9/24 </v>
      </c>
    </row>
    <row r="114" spans="1:7" hidden="1" x14ac:dyDescent="0.2">
      <c r="A114" s="48" t="str">
        <f>'Examens accrédités et ajouts'!A127</f>
        <v>HOPITAL CHARLES NICOLLE CHU ROUEN</v>
      </c>
      <c r="B114" s="48" t="str">
        <f>'Examens accrédités et ajouts'!B127</f>
        <v>Biochimie Générale</v>
      </c>
      <c r="C114" s="48" t="str">
        <f>'Examens accrédités et ajouts'!E127</f>
        <v>Prolactine</v>
      </c>
      <c r="D114" s="48" t="str">
        <f>'Examens accrédités et ajouts'!F127</f>
        <v>Sang</v>
      </c>
      <c r="E114" s="182" t="str">
        <f>'Examens accrédités et ajouts'!Q127</f>
        <v xml:space="preserve">BM BB01 _ A _ Electrochimiluminescence _ Quantitatif _ Automatisée _ 1 _ Cobas Pro Roche
</v>
      </c>
      <c r="F114" s="48" t="str">
        <f>'Examens accrédités et ajouts'!L127</f>
        <v>17188 v2</v>
      </c>
      <c r="G114" s="48" t="str">
        <f>'Examens accrédités et ajouts'!M127</f>
        <v xml:space="preserve">Changement automate:  mise en production le 25/9/24 </v>
      </c>
    </row>
    <row r="115" spans="1:7" hidden="1" x14ac:dyDescent="0.2">
      <c r="A115" s="48" t="str">
        <f>'Examens accrédités et ajouts'!A128</f>
        <v>HOPITAL CHARLES NICOLLE CHU ROUEN</v>
      </c>
      <c r="B115" s="48" t="str">
        <f>'Examens accrédités et ajouts'!B128</f>
        <v>Biochimie Générale</v>
      </c>
      <c r="C115" s="48" t="str">
        <f>'Examens accrédités et ajouts'!E128</f>
        <v>Adrenocorticotropic Hormone (ACTH)</v>
      </c>
      <c r="D115" s="48" t="str">
        <f>'Examens accrédités et ajouts'!F128</f>
        <v>Sang</v>
      </c>
      <c r="E115" s="182" t="str">
        <f>'Examens accrédités et ajouts'!Q128</f>
        <v xml:space="preserve">BM BB01 _ A _ Electrochimiluminescence _ Quantitatif _ Automatisée _ 1 _ Cobas Pro Roche
</v>
      </c>
      <c r="F115" s="48" t="str">
        <f>'Examens accrédités et ajouts'!L128</f>
        <v>17189 v3</v>
      </c>
      <c r="G115" s="48" t="str">
        <f>'Examens accrédités et ajouts'!M128</f>
        <v xml:space="preserve">Changement automate:  mise en production le 25/9/24 </v>
      </c>
    </row>
    <row r="116" spans="1:7" hidden="1" x14ac:dyDescent="0.2">
      <c r="A116" s="48" t="str">
        <f>'Examens accrédités et ajouts'!A129</f>
        <v>HOPITAL CHARLES NICOLLE CHU ROUEN</v>
      </c>
      <c r="B116" s="48" t="str">
        <f>'Examens accrédités et ajouts'!B129</f>
        <v>Biochimie Générale</v>
      </c>
      <c r="C116" s="48" t="str">
        <f>'Examens accrédités et ajouts'!E129</f>
        <v>Progesterone</v>
      </c>
      <c r="D116" s="48" t="str">
        <f>'Examens accrédités et ajouts'!F129</f>
        <v>Sang</v>
      </c>
      <c r="E116" s="182" t="str">
        <f>'Examens accrédités et ajouts'!Q129</f>
        <v xml:space="preserve">BM BB01 _ A _ Electrochimiluminescence _ Quantitatif _ Automatisée _ 2 _ Cobas Pro Roche
</v>
      </c>
      <c r="F116" s="48" t="str">
        <f>'Examens accrédités et ajouts'!L129</f>
        <v>23476 v2</v>
      </c>
      <c r="G116" s="48" t="str">
        <f>'Examens accrédités et ajouts'!M129</f>
        <v xml:space="preserve">Changement automate:  mise en production le 25/9/24 </v>
      </c>
    </row>
    <row r="117" spans="1:7" hidden="1" x14ac:dyDescent="0.2">
      <c r="A117" s="48" t="str">
        <f>'Examens accrédités et ajouts'!A130</f>
        <v>HOPITAL CHARLES NICOLLE CHU ROUEN</v>
      </c>
      <c r="B117" s="48" t="str">
        <f>'Examens accrédités et ajouts'!B130</f>
        <v>Biochimie Générale</v>
      </c>
      <c r="C117" s="48" t="str">
        <f>'Examens accrédités et ajouts'!E130</f>
        <v>ACE (Antigène carcinoembryonnaire)</v>
      </c>
      <c r="D117" s="48" t="str">
        <f>'Examens accrédités et ajouts'!F130</f>
        <v>Sang</v>
      </c>
      <c r="E117" s="182" t="str">
        <f>'Examens accrédités et ajouts'!Q130</f>
        <v xml:space="preserve">BM BB01 _ A _ Electrochimiluminescence _ Quantitatif _ Automatisée _ 1 _ Cobas Pro Roche
</v>
      </c>
      <c r="F117" s="48" t="str">
        <f>'Examens accrédités et ajouts'!L130</f>
        <v>22306 v1</v>
      </c>
      <c r="G117" s="48" t="str">
        <f>'Examens accrédités et ajouts'!M130</f>
        <v xml:space="preserve">Changement automate:  mise en production le 25/9/24 </v>
      </c>
    </row>
    <row r="118" spans="1:7" hidden="1" x14ac:dyDescent="0.2">
      <c r="A118" s="48" t="str">
        <f>'Examens accrédités et ajouts'!A131</f>
        <v>HOPITAL CHARLES NICOLLE CHU ROUEN</v>
      </c>
      <c r="B118" s="48" t="str">
        <f>'Examens accrédités et ajouts'!B131</f>
        <v>Biochimie Générale</v>
      </c>
      <c r="C118" s="48" t="str">
        <f>'Examens accrédités et ajouts'!E131</f>
        <v>Fer sérique</v>
      </c>
      <c r="D118" s="48" t="str">
        <f>'Examens accrédités et ajouts'!F131</f>
        <v>Sang</v>
      </c>
      <c r="E118" s="182" t="str">
        <f>'Examens accrédités et ajouts'!Q131</f>
        <v xml:space="preserve">BM BB01 _ A _ Colorimétrie _ Quantitatif _ Automatisée _ 1 _ Cobas Pro Roche
</v>
      </c>
      <c r="F118" s="48" t="str">
        <f>'Examens accrédités et ajouts'!L131</f>
        <v>25088 v2</v>
      </c>
      <c r="G118" s="48" t="str">
        <f>'Examens accrédités et ajouts'!M131</f>
        <v xml:space="preserve">Changement automate:  mise en production le 25/9/24 </v>
      </c>
    </row>
    <row r="119" spans="1:7" hidden="1" x14ac:dyDescent="0.2">
      <c r="A119" s="48" t="str">
        <f>'Examens accrédités et ajouts'!A132</f>
        <v>HOPITAL CHARLES NICOLLE CHU ROUEN</v>
      </c>
      <c r="B119" s="48" t="str">
        <f>'Examens accrédités et ajouts'!B132</f>
        <v>Biochimie Générale</v>
      </c>
      <c r="C119" s="48" t="str">
        <f>'Examens accrédités et ajouts'!E132</f>
        <v>C4</v>
      </c>
      <c r="D119" s="48" t="str">
        <f>'Examens accrédités et ajouts'!F132</f>
        <v>Sang</v>
      </c>
      <c r="E119" s="182" t="str">
        <f>'Examens accrédités et ajouts'!Q132</f>
        <v>BM BB01 _ A _ Turbidimétrie _ Quantitatif _ Automatisée _ 1 _ Optilite de The Binding Site</v>
      </c>
      <c r="F119" s="48" t="str">
        <f>'Examens accrédités et ajouts'!L132</f>
        <v>22305 v2</v>
      </c>
      <c r="G119" s="48">
        <f>'Examens accrédités et ajouts'!M132</f>
        <v>0</v>
      </c>
    </row>
    <row r="120" spans="1:7" hidden="1" x14ac:dyDescent="0.2">
      <c r="A120" s="48" t="str">
        <f>'Examens accrédités et ajouts'!A133</f>
        <v>HOPITAL CHARLES NICOLLE CHU ROUEN</v>
      </c>
      <c r="B120" s="48" t="str">
        <f>'Examens accrédités et ajouts'!B133</f>
        <v>Biochimie Générale</v>
      </c>
      <c r="C120" s="48" t="str">
        <f>'Examens accrédités et ajouts'!E133</f>
        <v>C3c</v>
      </c>
      <c r="D120" s="48" t="str">
        <f>'Examens accrédités et ajouts'!F133</f>
        <v>Sang</v>
      </c>
      <c r="E120" s="182" t="str">
        <f>'Examens accrédités et ajouts'!Q133</f>
        <v>BM BB01 _ A _ Turbidimétrie _ Quantitatif _ Automatisée _ 1 _ Optilite de The Binding Site</v>
      </c>
      <c r="F120" s="48" t="str">
        <f>'Examens accrédités et ajouts'!L133</f>
        <v>22304 v2</v>
      </c>
      <c r="G120" s="48">
        <f>'Examens accrédités et ajouts'!M133</f>
        <v>0</v>
      </c>
    </row>
    <row r="121" spans="1:7" hidden="1" x14ac:dyDescent="0.2">
      <c r="A121" s="48" t="str">
        <f>'Examens accrédités et ajouts'!A134</f>
        <v>HOPITAL CHARLES NICOLLE CHU ROUEN</v>
      </c>
      <c r="B121" s="48" t="str">
        <f>'Examens accrédités et ajouts'!B134</f>
        <v>Biochimie Générale</v>
      </c>
      <c r="C121" s="48" t="str">
        <f>'Examens accrédités et ajouts'!E134</f>
        <v>CA 19-9</v>
      </c>
      <c r="D121" s="48" t="str">
        <f>'Examens accrédités et ajouts'!F134</f>
        <v>Sang</v>
      </c>
      <c r="E121" s="182" t="str">
        <f>'Examens accrédités et ajouts'!Q134</f>
        <v xml:space="preserve">BM BB01 _ A _ Immunofluorescence _ Quantitatif _ Automatisée _ 1 _ Automate Kryptor Compact Plus (societé Thermo Scientific) </v>
      </c>
      <c r="F121" s="48" t="str">
        <f>'Examens accrédités et ajouts'!L134</f>
        <v>23785 v1</v>
      </c>
      <c r="G121" s="48">
        <f>'Examens accrédités et ajouts'!M134</f>
        <v>0</v>
      </c>
    </row>
    <row r="122" spans="1:7" hidden="1" x14ac:dyDescent="0.2">
      <c r="A122" s="48" t="str">
        <f>'Examens accrédités et ajouts'!A135</f>
        <v>HOPITAL CHARLES NICOLLE CHU ROUEN</v>
      </c>
      <c r="B122" s="48" t="str">
        <f>'Examens accrédités et ajouts'!B135</f>
        <v>Biochimie Générale</v>
      </c>
      <c r="C122" s="48" t="str">
        <f>'Examens accrédités et ajouts'!E135</f>
        <v>CA 15-3</v>
      </c>
      <c r="D122" s="48" t="str">
        <f>'Examens accrédités et ajouts'!F135</f>
        <v>Sang</v>
      </c>
      <c r="E122" s="182" t="str">
        <f>'Examens accrédités et ajouts'!Q135</f>
        <v xml:space="preserve">BM BB01 _ A _ Immunofluorescence _ Quantitatif _ Automatisée _ 1 _ Automate Kryptor Compact Plus (societé Thermo Scientific) </v>
      </c>
      <c r="F122" s="48" t="str">
        <f>'Examens accrédités et ajouts'!L135</f>
        <v>23782 v1</v>
      </c>
      <c r="G122" s="48">
        <f>'Examens accrédités et ajouts'!M135</f>
        <v>0</v>
      </c>
    </row>
    <row r="123" spans="1:7" hidden="1" x14ac:dyDescent="0.2">
      <c r="A123" s="48" t="str">
        <f>'Examens accrédités et ajouts'!A136</f>
        <v>HOPITAL CHARLES NICOLLE CHU ROUEN</v>
      </c>
      <c r="B123" s="48" t="str">
        <f>'Examens accrédités et ajouts'!B136</f>
        <v>Biochimie Générale</v>
      </c>
      <c r="C123" s="48" t="str">
        <f>'Examens accrédités et ajouts'!E136</f>
        <v>CA 125</v>
      </c>
      <c r="D123" s="48" t="str">
        <f>'Examens accrédités et ajouts'!F136</f>
        <v>Sang</v>
      </c>
      <c r="E123" s="182" t="str">
        <f>'Examens accrédités et ajouts'!Q136</f>
        <v xml:space="preserve">BM BB01 _ A _ Immunofluorescence _ Quantitatif _ Automatisée _ 1 _ Automate Kryptor Compact Plus (societé Thermo Scientific) </v>
      </c>
      <c r="F123" s="48" t="str">
        <f>'Examens accrédités et ajouts'!L136</f>
        <v>23788 v1</v>
      </c>
      <c r="G123" s="48">
        <f>'Examens accrédités et ajouts'!M136</f>
        <v>0</v>
      </c>
    </row>
    <row r="124" spans="1:7" hidden="1" x14ac:dyDescent="0.2">
      <c r="A124" s="48" t="str">
        <f>'Examens accrédités et ajouts'!A137</f>
        <v>HOPITAL CHARLES NICOLLE CHU ROUEN</v>
      </c>
      <c r="B124" s="48" t="str">
        <f>'Examens accrédités et ajouts'!B137</f>
        <v>Biochimie Générale</v>
      </c>
      <c r="C124" s="48" t="str">
        <f>'Examens accrédités et ajouts'!E137</f>
        <v>AFP</v>
      </c>
      <c r="D124" s="48" t="str">
        <f>'Examens accrédités et ajouts'!F137</f>
        <v>Sang</v>
      </c>
      <c r="E124" s="182" t="str">
        <f>'Examens accrédités et ajouts'!Q137</f>
        <v xml:space="preserve">BM BB01 _ A _ Electrochimiluminescence _ Quantitatif _ Automatisée _ 1 _ Cobas Pro Roche
</v>
      </c>
      <c r="F124" s="48" t="str">
        <f>'Examens accrédités et ajouts'!L137</f>
        <v>22307 v2</v>
      </c>
      <c r="G124" s="48" t="str">
        <f>'Examens accrédités et ajouts'!M137</f>
        <v xml:space="preserve">Changement automate:  mise en production le 25/9/24 </v>
      </c>
    </row>
    <row r="125" spans="1:7" hidden="1" x14ac:dyDescent="0.2">
      <c r="A125" s="48" t="str">
        <f>'Examens accrédités et ajouts'!A138</f>
        <v>HOPITAL CHARLES NICOLLE CHU ROUEN</v>
      </c>
      <c r="B125" s="48" t="str">
        <f>'Examens accrédités et ajouts'!B138</f>
        <v>Biochimie Générale</v>
      </c>
      <c r="C125" s="48" t="str">
        <f>'Examens accrédités et ajouts'!E138</f>
        <v>Beta 2 microglobuline sérique</v>
      </c>
      <c r="D125" s="48" t="str">
        <f>'Examens accrédités et ajouts'!F138</f>
        <v>Sang</v>
      </c>
      <c r="E125" s="182" t="str">
        <f>'Examens accrédités et ajouts'!Q138</f>
        <v>BM BB01 _ A _ Turbidimétrie _ Quantitatif _ Automatisée _ 1 _ Optilite de The Binding Site</v>
      </c>
      <c r="F125" s="48" t="str">
        <f>'Examens accrédités et ajouts'!L138</f>
        <v>25639 v3</v>
      </c>
      <c r="G125" s="48">
        <f>'Examens accrédités et ajouts'!M138</f>
        <v>0</v>
      </c>
    </row>
    <row r="126" spans="1:7" hidden="1" x14ac:dyDescent="0.2">
      <c r="A126" s="48" t="str">
        <f>'Examens accrédités et ajouts'!A139</f>
        <v>HOPITAL CHARLES NICOLLE CHU ROUEN</v>
      </c>
      <c r="B126" s="48" t="str">
        <f>'Examens accrédités et ajouts'!B139</f>
        <v>Biochimie Générale</v>
      </c>
      <c r="C126" s="48" t="str">
        <f>'Examens accrédités et ajouts'!E139</f>
        <v>Céruléoplasmine</v>
      </c>
      <c r="D126" s="48" t="str">
        <f>'Examens accrédités et ajouts'!F139</f>
        <v>Sang</v>
      </c>
      <c r="E126" s="182" t="str">
        <f>'Examens accrédités et ajouts'!Q139</f>
        <v>BM BB01 _ A _ Turbidimétrie _ Quantitatif _ Automatisée _ 1 _ Optilite de The Binding Site</v>
      </c>
      <c r="F126" s="48" t="str">
        <f>'Examens accrédités et ajouts'!L139</f>
        <v>25638 v5</v>
      </c>
      <c r="G126" s="48">
        <f>'Examens accrédités et ajouts'!M139</f>
        <v>0</v>
      </c>
    </row>
    <row r="127" spans="1:7" hidden="1" x14ac:dyDescent="0.2">
      <c r="A127" s="48" t="str">
        <f>'Examens accrédités et ajouts'!A140</f>
        <v>HOPITAL CHARLES NICOLLE CHU ROUEN</v>
      </c>
      <c r="B127" s="48" t="str">
        <f>'Examens accrédités et ajouts'!B140</f>
        <v>Biochimie Générale</v>
      </c>
      <c r="C127" s="48" t="str">
        <f>'Examens accrédités et ajouts'!E140</f>
        <v>25-OH vitamine D</v>
      </c>
      <c r="D127" s="48" t="str">
        <f>'Examens accrédités et ajouts'!F140</f>
        <v>Sang</v>
      </c>
      <c r="E127" s="182" t="str">
        <f>'Examens accrédités et ajouts'!Q140</f>
        <v xml:space="preserve">BM BB01 _ A _ Chimiluminescence  _ Quantitatif _ Automatisée _ 1 _ Cobas Pro Roche
</v>
      </c>
      <c r="F127" s="48" t="str">
        <f>'Examens accrédités et ajouts'!L140</f>
        <v>26732 v3</v>
      </c>
      <c r="G127" s="48">
        <f>'Examens accrédités et ajouts'!M140</f>
        <v>0</v>
      </c>
    </row>
    <row r="128" spans="1:7" hidden="1" x14ac:dyDescent="0.2">
      <c r="A128" s="48" t="str">
        <f>'Examens accrédités et ajouts'!A141</f>
        <v>HOPITAL CHARLES NICOLLE CHU ROUEN</v>
      </c>
      <c r="B128" s="48" t="str">
        <f>'Examens accrédités et ajouts'!B141</f>
        <v>Biochimie Générale</v>
      </c>
      <c r="C128" s="48" t="str">
        <f>'Examens accrédités et ajouts'!E141</f>
        <v>PTH</v>
      </c>
      <c r="D128" s="48" t="str">
        <f>'Examens accrédités et ajouts'!F141</f>
        <v>Sang</v>
      </c>
      <c r="E128" s="182" t="str">
        <f>'Examens accrédités et ajouts'!Q141</f>
        <v xml:space="preserve">BM BB01 _ A _ Chimiluminescence  _ Quantitatif _ Automatisée _ 1 _ Cobas Pro Roche
</v>
      </c>
      <c r="F128" s="48" t="str">
        <f>'Examens accrédités et ajouts'!L141</f>
        <v>26731 v3</v>
      </c>
      <c r="G128" s="48">
        <f>'Examens accrédités et ajouts'!M141</f>
        <v>0</v>
      </c>
    </row>
    <row r="129" spans="1:7" hidden="1" x14ac:dyDescent="0.2">
      <c r="A129" s="48" t="str">
        <f>'Examens accrédités et ajouts'!A142</f>
        <v>HOPITAL CHARLES NICOLLE CHU ROUEN</v>
      </c>
      <c r="B129" s="48" t="str">
        <f>'Examens accrédités et ajouts'!B142</f>
        <v>Biochimie Générale</v>
      </c>
      <c r="C129" s="48" t="str">
        <f>'Examens accrédités et ajouts'!E142</f>
        <v>CK-MB</v>
      </c>
      <c r="D129" s="48" t="str">
        <f>'Examens accrédités et ajouts'!F142</f>
        <v>Sang</v>
      </c>
      <c r="E129" s="182" t="str">
        <f>'Examens accrédités et ajouts'!Q142</f>
        <v xml:space="preserve">BM BB01 _ A _ Electrochimiluminescence _ Quantitatif _ Automatisée _ 1 _ Cobas Pro Roche
</v>
      </c>
      <c r="F129" s="48" t="str">
        <f>'Examens accrédités et ajouts'!L142</f>
        <v>10608 v4</v>
      </c>
      <c r="G129" s="48" t="str">
        <f>'Examens accrédités et ajouts'!M142</f>
        <v xml:space="preserve">Changement automate:  mise en production le 25/9/24 </v>
      </c>
    </row>
    <row r="130" spans="1:7" hidden="1" x14ac:dyDescent="0.2">
      <c r="A130" s="48" t="str">
        <f>'Examens accrédités et ajouts'!A143</f>
        <v>HOPITAL CHARLES NICOLLE CHU ROUEN</v>
      </c>
      <c r="B130" s="48" t="str">
        <f>'Examens accrédités et ajouts'!B143</f>
        <v>Biochimie Générale</v>
      </c>
      <c r="C130" s="48" t="str">
        <f>'Examens accrédités et ajouts'!E143</f>
        <v>Myoglobine</v>
      </c>
      <c r="D130" s="48" t="str">
        <f>'Examens accrédités et ajouts'!F143</f>
        <v>Sang</v>
      </c>
      <c r="E130" s="182" t="str">
        <f>'Examens accrédités et ajouts'!Q143</f>
        <v xml:space="preserve">BM BB01 _ A _ Electrochimiluminescence _ Quantitatif _ Automatisée _ 1 _ Cobas Pro Roche
</v>
      </c>
      <c r="F130" s="48" t="str">
        <f>'Examens accrédités et ajouts'!L143</f>
        <v>26742 v1</v>
      </c>
      <c r="G130" s="48" t="str">
        <f>'Examens accrédités et ajouts'!M143</f>
        <v xml:space="preserve">Changement automate:  mise en production le 25/9/24 </v>
      </c>
    </row>
    <row r="131" spans="1:7" hidden="1" x14ac:dyDescent="0.2">
      <c r="A131" s="48" t="str">
        <f>'Examens accrédités et ajouts'!A144</f>
        <v>HOPITAL CHARLES NICOLLE CHU ROUEN</v>
      </c>
      <c r="B131" s="48" t="str">
        <f>'Examens accrédités et ajouts'!B144</f>
        <v>Biochimie Générale</v>
      </c>
      <c r="C131" s="48" t="str">
        <f>'Examens accrédités et ajouts'!E144</f>
        <v>Insuline</v>
      </c>
      <c r="D131" s="48" t="str">
        <f>'Examens accrédités et ajouts'!F144</f>
        <v>Sang</v>
      </c>
      <c r="E131" s="182" t="str">
        <f>'Examens accrédités et ajouts'!Q144</f>
        <v xml:space="preserve">BM BB01 _ A _ Electrochimiluminescence _ Quantitatif _ Automatisée _ 1 _ Cobas Pro Roche
</v>
      </c>
      <c r="F131" s="48" t="str">
        <f>'Examens accrédités et ajouts'!L144</f>
        <v>26382 v1</v>
      </c>
      <c r="G131" s="48" t="str">
        <f>'Examens accrédités et ajouts'!M144</f>
        <v xml:space="preserve">Changement automate:  mise en production le 25/9/24 </v>
      </c>
    </row>
    <row r="132" spans="1:7" hidden="1" x14ac:dyDescent="0.2">
      <c r="A132" s="48" t="str">
        <f>'Examens accrédités et ajouts'!A145</f>
        <v>HOPITAL CHARLES NICOLLE CHU ROUEN</v>
      </c>
      <c r="B132" s="48" t="str">
        <f>'Examens accrédités et ajouts'!B145</f>
        <v>Biochimie Générale</v>
      </c>
      <c r="C132" s="48" t="str">
        <f>'Examens accrédités et ajouts'!E145</f>
        <v>Peptide C</v>
      </c>
      <c r="D132" s="48" t="str">
        <f>'Examens accrédités et ajouts'!F145</f>
        <v>Sang</v>
      </c>
      <c r="E132" s="182" t="str">
        <f>'Examens accrédités et ajouts'!Q145</f>
        <v xml:space="preserve">BM BB01 _ A _ Electrochimiluminescence _ Quantitatif _ Automatisée _ 1 _ Cobas Pro Roche
</v>
      </c>
      <c r="F132" s="48" t="str">
        <f>'Examens accrédités et ajouts'!L145</f>
        <v>26385 v1</v>
      </c>
      <c r="G132" s="48" t="str">
        <f>'Examens accrédités et ajouts'!M145</f>
        <v xml:space="preserve">Changement automate:  mise en production le 25/9/24 </v>
      </c>
    </row>
    <row r="133" spans="1:7" hidden="1" x14ac:dyDescent="0.2">
      <c r="A133" s="48" t="str">
        <f>'Examens accrédités et ajouts'!A146</f>
        <v>HOPITAL CHARLES NICOLLE CHU ROUEN</v>
      </c>
      <c r="B133" s="48" t="str">
        <f>'Examens accrédités et ajouts'!B146</f>
        <v>Biochimie Générale</v>
      </c>
      <c r="C133" s="48" t="str">
        <f>'Examens accrédités et ajouts'!E146</f>
        <v>Orosomucoide</v>
      </c>
      <c r="D133" s="48" t="str">
        <f>'Examens accrédités et ajouts'!F146</f>
        <v>Sang</v>
      </c>
      <c r="E133" s="182" t="str">
        <f>'Examens accrédités et ajouts'!Q146</f>
        <v xml:space="preserve">BM BB01 _ A _ Immunoturbidimétrie _ Quantitatif _ Automatisée _ 1 _ Cobas Pro Roche
</v>
      </c>
      <c r="F133" s="48" t="str">
        <f>'Examens accrédités et ajouts'!L146</f>
        <v>26350 v1</v>
      </c>
      <c r="G133" s="48" t="str">
        <f>'Examens accrédités et ajouts'!M146</f>
        <v xml:space="preserve">Changement automate:  mise en production le 25/9/24 </v>
      </c>
    </row>
    <row r="134" spans="1:7" hidden="1" x14ac:dyDescent="0.2">
      <c r="A134" s="48" t="str">
        <f>'Examens accrédités et ajouts'!A147</f>
        <v>HOPITAL CHARLES NICOLLE CHU ROUEN</v>
      </c>
      <c r="B134" s="48" t="str">
        <f>'Examens accrédités et ajouts'!B147</f>
        <v>Biochimie Générale</v>
      </c>
      <c r="C134" s="48" t="str">
        <f>'Examens accrédités et ajouts'!E147</f>
        <v>Transferrine</v>
      </c>
      <c r="D134" s="48" t="str">
        <f>'Examens accrédités et ajouts'!F147</f>
        <v>Sang</v>
      </c>
      <c r="E134" s="182" t="str">
        <f>'Examens accrédités et ajouts'!Q147</f>
        <v xml:space="preserve">BM BB01 _ A _ Immunoturbidimétrie _ Quantitatif _ Automatisée _ 2 _ Cobas Pro Roche
</v>
      </c>
      <c r="F134" s="48" t="str">
        <f>'Examens accrédités et ajouts'!L147</f>
        <v>25088 v2</v>
      </c>
      <c r="G134" s="48" t="str">
        <f>'Examens accrédités et ajouts'!M147</f>
        <v xml:space="preserve">Changement automate:  mise en production le 25/9/24 </v>
      </c>
    </row>
    <row r="135" spans="1:7" hidden="1" x14ac:dyDescent="0.2">
      <c r="A135" s="48" t="str">
        <f>'Examens accrédités et ajouts'!A148</f>
        <v>HOPITAL CHARLES NICOLLE CHU ROUEN</v>
      </c>
      <c r="B135" s="48" t="str">
        <f>'Examens accrédités et ajouts'!B148</f>
        <v>Biochimie Générale</v>
      </c>
      <c r="C135" s="48" t="str">
        <f>'Examens accrédités et ajouts'!E148</f>
        <v>Ammoniémie</v>
      </c>
      <c r="D135" s="48" t="str">
        <f>'Examens accrédités et ajouts'!F148</f>
        <v>Sang</v>
      </c>
      <c r="E135" s="182" t="str">
        <f>'Examens accrédités et ajouts'!Q148</f>
        <v xml:space="preserve">BM BB01 _ A _ Enzymatique _ Quantitatif _ Automatisée _ 2 _ Cobas Pro Roche
</v>
      </c>
      <c r="F135" s="48" t="str">
        <f>'Examens accrédités et ajouts'!L148</f>
        <v>27474 v2</v>
      </c>
      <c r="G135" s="48" t="str">
        <f>'Examens accrédités et ajouts'!M148</f>
        <v>Changement automate:  mise en production le 25/9/24  et le 16/12/2024</v>
      </c>
    </row>
    <row r="136" spans="1:7" hidden="1" x14ac:dyDescent="0.2">
      <c r="A136" s="48" t="str">
        <f>'Examens accrédités et ajouts'!A149</f>
        <v>HOPITAL CHARLES NICOLLE CHU ROUEN</v>
      </c>
      <c r="B136" s="48" t="str">
        <f>'Examens accrédités et ajouts'!B149</f>
        <v>Biochimie Générale</v>
      </c>
      <c r="C136" s="48" t="str">
        <f>'Examens accrédités et ajouts'!E149</f>
        <v>Fructosamines</v>
      </c>
      <c r="D136" s="48" t="str">
        <f>'Examens accrédités et ajouts'!F149</f>
        <v>Sang</v>
      </c>
      <c r="E136" s="182" t="str">
        <f>'Examens accrédités et ajouts'!Q149</f>
        <v xml:space="preserve">BM BB01 _ A _ Colorimétrie _ Quantitatif _ Automatisée _ 1 _ Cobas Pro Roche
</v>
      </c>
      <c r="F136" s="48" t="str">
        <f>'Examens accrédités et ajouts'!L149</f>
        <v>26932 v1</v>
      </c>
      <c r="G136" s="48" t="str">
        <f>'Examens accrédités et ajouts'!M149</f>
        <v xml:space="preserve">Changement automate:  mise en production le 25/9/24 </v>
      </c>
    </row>
    <row r="137" spans="1:7" hidden="1" x14ac:dyDescent="0.2">
      <c r="A137" s="48" t="str">
        <f>'Examens accrédités et ajouts'!A150</f>
        <v>HOPITAL CHARLES NICOLLE CHU ROUEN</v>
      </c>
      <c r="B137" s="48" t="str">
        <f>'Examens accrédités et ajouts'!B150</f>
        <v>Biochimie Générale</v>
      </c>
      <c r="C137" s="48" t="str">
        <f>'Examens accrédités et ajouts'!E150</f>
        <v>Chaines légères libres Kappa</v>
      </c>
      <c r="D137" s="48" t="str">
        <f>'Examens accrédités et ajouts'!F150</f>
        <v>Sang</v>
      </c>
      <c r="E137" s="182" t="str">
        <f>'Examens accrédités et ajouts'!Q150</f>
        <v>BM BB01 _ A _ Turbidimétrie _ Quantitatif _ Automatisée _ 1 _ Optilite de The Binding Site</v>
      </c>
      <c r="F137" s="48" t="str">
        <f>'Examens accrédités et ajouts'!L150</f>
        <v>27428 v3</v>
      </c>
      <c r="G137" s="48">
        <f>'Examens accrédités et ajouts'!M150</f>
        <v>0</v>
      </c>
    </row>
    <row r="138" spans="1:7" hidden="1" x14ac:dyDescent="0.2">
      <c r="A138" s="48" t="str">
        <f>'Examens accrédités et ajouts'!A151</f>
        <v>HOPITAL CHARLES NICOLLE CHU ROUEN</v>
      </c>
      <c r="B138" s="48" t="str">
        <f>'Examens accrédités et ajouts'!B151</f>
        <v>Biochimie Générale</v>
      </c>
      <c r="C138" s="48" t="str">
        <f>'Examens accrédités et ajouts'!E151</f>
        <v>Chaines légères libres Lambda</v>
      </c>
      <c r="D138" s="48" t="str">
        <f>'Examens accrédités et ajouts'!F151</f>
        <v>Sang</v>
      </c>
      <c r="E138" s="182" t="str">
        <f>'Examens accrédités et ajouts'!Q151</f>
        <v>BM BB01 _ A _ Turbidimétrie _ Quantitatif _ Automatisée _ 1 _ Optilite de The Binding Site</v>
      </c>
      <c r="F138" s="48" t="str">
        <f>'Examens accrédités et ajouts'!L151</f>
        <v>27428 v3</v>
      </c>
      <c r="G138" s="48">
        <f>'Examens accrédités et ajouts'!M151</f>
        <v>0</v>
      </c>
    </row>
    <row r="139" spans="1:7" hidden="1" x14ac:dyDescent="0.2">
      <c r="A139" s="48" t="str">
        <f>'Examens accrédités et ajouts'!A152</f>
        <v>HOPITAL CHARLES NICOLLE CHU ROUEN</v>
      </c>
      <c r="B139" s="48" t="str">
        <f>'Examens accrédités et ajouts'!B152</f>
        <v>Biochimie Générale</v>
      </c>
      <c r="C139" s="48" t="str">
        <f>'Examens accrédités et ajouts'!E152</f>
        <v>Albumine T</v>
      </c>
      <c r="D139" s="48" t="str">
        <f>'Examens accrédités et ajouts'!F152</f>
        <v>Sang</v>
      </c>
      <c r="E139" s="182" t="str">
        <f>'Examens accrédités et ajouts'!Q152</f>
        <v xml:space="preserve">BM BB01 _ A _ Turbidimétrie _ Quantitatif _ Automatisée _ 1 _ Cobas Pro Roche
</v>
      </c>
      <c r="F139" s="48" t="str">
        <f>'Examens accrédités et ajouts'!L152</f>
        <v>10608 v4</v>
      </c>
      <c r="G139" s="48" t="str">
        <f>'Examens accrédités et ajouts'!M152</f>
        <v xml:space="preserve">Changement automate:  mise en production le 25/9/24 </v>
      </c>
    </row>
    <row r="140" spans="1:7" hidden="1" x14ac:dyDescent="0.2">
      <c r="A140" s="48" t="str">
        <f>'Examens accrédités et ajouts'!A153</f>
        <v>HOPITAL CHARLES NICOLLE CHU ROUEN</v>
      </c>
      <c r="B140" s="48" t="str">
        <f>'Examens accrédités et ajouts'!B153</f>
        <v>Biochimie Générale</v>
      </c>
      <c r="C140" s="48" t="str">
        <f>'Examens accrédités et ajouts'!E153</f>
        <v>Indice Gamma</v>
      </c>
      <c r="D140" s="48" t="str">
        <f>'Examens accrédités et ajouts'!F153</f>
        <v>LCR et Sang</v>
      </c>
      <c r="E140" s="182" t="str">
        <f>'Examens accrédités et ajouts'!Q153</f>
        <v xml:space="preserve">BM BB01 _ A _ Turbidimétrie _ Quantitatif _ Automatisée _ 1 _ Cobas Pro Roche
</v>
      </c>
      <c r="F140" s="48" t="str">
        <f>'Examens accrédités et ajouts'!L153</f>
        <v>26742 v1</v>
      </c>
      <c r="G140" s="48" t="str">
        <f>'Examens accrédités et ajouts'!M153</f>
        <v xml:space="preserve">Changement automate:  mise en production le 25/9/24 </v>
      </c>
    </row>
    <row r="141" spans="1:7" hidden="1" x14ac:dyDescent="0.2">
      <c r="A141" s="48" t="str">
        <f>'Examens accrédités et ajouts'!A154</f>
        <v>HOPITAL CHARLES NICOLLE CHU ROUEN</v>
      </c>
      <c r="B141" s="48" t="str">
        <f>'Examens accrédités et ajouts'!B154</f>
        <v>Biochimie Générale</v>
      </c>
      <c r="C141" s="48" t="str">
        <f>'Examens accrédités et ajouts'!E154</f>
        <v>Angiotensine convertase</v>
      </c>
      <c r="D141" s="48" t="str">
        <f>'Examens accrédités et ajouts'!F154</f>
        <v>Sang</v>
      </c>
      <c r="E141" s="182" t="str">
        <f>'Examens accrédités et ajouts'!Q154</f>
        <v xml:space="preserve">BM BB01 _ A _ Enzymatique _ Quantitatif _ Automatisée _ 1 _ Cobas Pro Roche
</v>
      </c>
      <c r="F141" s="48" t="str">
        <f>'Examens accrédités et ajouts'!L154</f>
        <v>26382 v1</v>
      </c>
      <c r="G141" s="48" t="str">
        <f>'Examens accrédités et ajouts'!M154</f>
        <v xml:space="preserve">Changement automate:  mise en production le 25/9/24 </v>
      </c>
    </row>
    <row r="142" spans="1:7" hidden="1" x14ac:dyDescent="0.2">
      <c r="A142" s="48" t="str">
        <f>'Examens accrédités et ajouts'!A155</f>
        <v>HOPITAL CHARLES NICOLLE CHU ROUEN</v>
      </c>
      <c r="B142" s="48" t="str">
        <f>'Examens accrédités et ajouts'!B155</f>
        <v>Biochimie Générale</v>
      </c>
      <c r="C142" s="48" t="str">
        <f>'Examens accrédités et ajouts'!E155</f>
        <v>Folates</v>
      </c>
      <c r="D142" s="48" t="str">
        <f>'Examens accrédités et ajouts'!F155</f>
        <v>Sang</v>
      </c>
      <c r="E142" s="182" t="str">
        <f>'Examens accrédités et ajouts'!Q155</f>
        <v xml:space="preserve">BM BB01 _ A _ Electrochimiluminescence _ Quantitatif _ Automatisée _ 1 _ Cobas Pro Roche
</v>
      </c>
      <c r="F142" s="48" t="str">
        <f>'Examens accrédités et ajouts'!L155</f>
        <v>26385 v1</v>
      </c>
      <c r="G142" s="48" t="str">
        <f>'Examens accrédités et ajouts'!M155</f>
        <v xml:space="preserve">Changement automate:  mise en production le 25/9/24 </v>
      </c>
    </row>
    <row r="143" spans="1:7" hidden="1" x14ac:dyDescent="0.2">
      <c r="A143" s="48" t="str">
        <f>'Examens accrédités et ajouts'!A156</f>
        <v>HOPITAL CHARLES NICOLLE CHU ROUEN</v>
      </c>
      <c r="B143" s="48" t="str">
        <f>'Examens accrédités et ajouts'!B156</f>
        <v>Biochimie Générale</v>
      </c>
      <c r="C143" s="48" t="str">
        <f>'Examens accrédités et ajouts'!E156</f>
        <v>Vitamine B12</v>
      </c>
      <c r="D143" s="48" t="str">
        <f>'Examens accrédités et ajouts'!F156</f>
        <v>Sang</v>
      </c>
      <c r="E143" s="182" t="str">
        <f>'Examens accrédités et ajouts'!Q156</f>
        <v xml:space="preserve">BM BB01 _ A _ Electrochimiluminescence _ Quantitatif _ Automatisée _ 1 _ Cobas Pro Roche
</v>
      </c>
      <c r="F143" s="48" t="str">
        <f>'Examens accrédités et ajouts'!L156</f>
        <v>26350 v1</v>
      </c>
      <c r="G143" s="48" t="str">
        <f>'Examens accrédités et ajouts'!M156</f>
        <v xml:space="preserve">Changement automate:  mise en production le 25/9/24 </v>
      </c>
    </row>
    <row r="144" spans="1:7" hidden="1" x14ac:dyDescent="0.2">
      <c r="A144" s="48" t="str">
        <f>'Examens accrédités et ajouts'!A157</f>
        <v>HOPITAL CHARLES NICOLLE CHU ROUEN</v>
      </c>
      <c r="B144" s="48" t="str">
        <f>'Examens accrédités et ajouts'!B157</f>
        <v>Biochimie Générale</v>
      </c>
      <c r="C144" s="48" t="str">
        <f>'Examens accrédités et ajouts'!E157</f>
        <v>Neurone specific enolase (NSE)</v>
      </c>
      <c r="D144" s="48" t="str">
        <f>'Examens accrédités et ajouts'!F157</f>
        <v>Sang</v>
      </c>
      <c r="E144" s="182" t="str">
        <f>'Examens accrédités et ajouts'!Q157</f>
        <v xml:space="preserve">BM BB01 _ A _ Fluorescence _ Quantitatif _ Automatisée _ 1 _ Cobas Pro Roche
</v>
      </c>
      <c r="F144" s="48" t="str">
        <f>'Examens accrédités et ajouts'!L157</f>
        <v>25088 v2</v>
      </c>
      <c r="G144" s="48" t="str">
        <f>'Examens accrédités et ajouts'!M157</f>
        <v xml:space="preserve">Changement automate:  mise en production le 25/9/24 </v>
      </c>
    </row>
    <row r="145" spans="1:7" hidden="1" x14ac:dyDescent="0.2">
      <c r="A145" s="48" t="str">
        <f>'Examens accrédités et ajouts'!A158</f>
        <v>HOPITAL CHARLES NICOLLE CHU ROUEN</v>
      </c>
      <c r="B145" s="48" t="str">
        <f>'Examens accrédités et ajouts'!B158</f>
        <v>Biochimie Générale</v>
      </c>
      <c r="C145" s="48" t="str">
        <f>'Examens accrédités et ajouts'!E158</f>
        <v>HCG Tumorale</v>
      </c>
      <c r="D145" s="48" t="str">
        <f>'Examens accrédités et ajouts'!F158</f>
        <v>Sang</v>
      </c>
      <c r="E145" s="182" t="str">
        <f>'Examens accrédités et ajouts'!Q158</f>
        <v xml:space="preserve">BM BB01 _ A _ Chimiluminescence _ Quantitatif _ Automatisée _ 1 _ Cobas Pro Roche
</v>
      </c>
      <c r="F145" s="48" t="str">
        <f>'Examens accrédités et ajouts'!L158</f>
        <v>27474 v2</v>
      </c>
      <c r="G145" s="48" t="str">
        <f>'Examens accrédités et ajouts'!M158</f>
        <v xml:space="preserve">Changement automate:  mise en production le 25/9/24 </v>
      </c>
    </row>
    <row r="146" spans="1:7" hidden="1" x14ac:dyDescent="0.2">
      <c r="A146" s="48" t="str">
        <f>'Examens accrédités et ajouts'!A159</f>
        <v>HOPITAL CHARLES NICOLLE CHU ROUEN</v>
      </c>
      <c r="B146" s="48" t="str">
        <f>'Examens accrédités et ajouts'!B159</f>
        <v>Biochimie Générale</v>
      </c>
      <c r="C146" s="48" t="str">
        <f>'Examens accrédités et ajouts'!E159</f>
        <v>Sodium urinaire</v>
      </c>
      <c r="D146" s="48" t="str">
        <f>'Examens accrédités et ajouts'!F159</f>
        <v>Urine</v>
      </c>
      <c r="E146" s="182" t="str">
        <f>'Examens accrédités et ajouts'!Q159</f>
        <v xml:space="preserve">BM BB01 _ A _ Potentiométrie indirecte _ Quantitatif _ Automatisée _ 2 _ Cobas Pro Roche
</v>
      </c>
      <c r="F146" s="48" t="str">
        <f>'Examens accrédités et ajouts'!L159</f>
        <v>26932 v1</v>
      </c>
      <c r="G146" s="48" t="str">
        <f>'Examens accrédités et ajouts'!M159</f>
        <v xml:space="preserve">Changement automate:  mise en production le 25/9/24 </v>
      </c>
    </row>
    <row r="147" spans="1:7" hidden="1" x14ac:dyDescent="0.2">
      <c r="A147" s="48" t="str">
        <f>'Examens accrédités et ajouts'!A160</f>
        <v>HOPITAL CHARLES NICOLLE CHU ROUEN</v>
      </c>
      <c r="B147" s="48" t="str">
        <f>'Examens accrédités et ajouts'!B160</f>
        <v>Biochimie Générale</v>
      </c>
      <c r="C147" s="48" t="str">
        <f>'Examens accrédités et ajouts'!E160</f>
        <v>Potassium urinaire</v>
      </c>
      <c r="D147" s="48" t="str">
        <f>'Examens accrédités et ajouts'!F160</f>
        <v>Urine</v>
      </c>
      <c r="E147" s="182" t="str">
        <f>'Examens accrédités et ajouts'!Q160</f>
        <v xml:space="preserve">BM BB01 _ A _ Potentiométrie indirecte _ Quantitatif _ Automatisée _ 2 _ Cobas Pro Roche
</v>
      </c>
      <c r="F147" s="48" t="str">
        <f>'Examens accrédités et ajouts'!L160</f>
        <v>16948 v2</v>
      </c>
      <c r="G147" s="48" t="str">
        <f>'Examens accrédités et ajouts'!M160</f>
        <v>Changement automate:  mise en production le 25/9/24 et le 16/12/2024</v>
      </c>
    </row>
    <row r="148" spans="1:7" hidden="1" x14ac:dyDescent="0.2">
      <c r="A148" s="48" t="str">
        <f>'Examens accrédités et ajouts'!A161</f>
        <v>HOPITAL CHARLES NICOLLE CHU ROUEN</v>
      </c>
      <c r="B148" s="48" t="str">
        <f>'Examens accrédités et ajouts'!B161</f>
        <v>Biochimie Générale</v>
      </c>
      <c r="C148" s="48" t="str">
        <f>'Examens accrédités et ajouts'!E161</f>
        <v>Créatinine urinaire</v>
      </c>
      <c r="D148" s="48" t="str">
        <f>'Examens accrédités et ajouts'!F161</f>
        <v>Urine</v>
      </c>
      <c r="E148" s="182" t="str">
        <f>'Examens accrédités et ajouts'!Q161</f>
        <v xml:space="preserve">BM BB01 _ A _ Enzymatique _ Quantitatif _ Automatisée _ 2 _ Cobas Pro Roche
</v>
      </c>
      <c r="F148" s="48" t="str">
        <f>'Examens accrédités et ajouts'!L161</f>
        <v>28463 v1</v>
      </c>
      <c r="G148" s="48" t="str">
        <f>'Examens accrédités et ajouts'!M161</f>
        <v>Changement automate:  mise en production le 25/9/24 et le 16/12/2024</v>
      </c>
    </row>
    <row r="149" spans="1:7" hidden="1" x14ac:dyDescent="0.2">
      <c r="A149" s="48" t="str">
        <f>'Examens accrédités et ajouts'!A162</f>
        <v>HOPITAL CHARLES NICOLLE CHU ROUEN</v>
      </c>
      <c r="B149" s="48" t="str">
        <f>'Examens accrédités et ajouts'!B162</f>
        <v>Biochimie Générale</v>
      </c>
      <c r="C149" s="48" t="str">
        <f>'Examens accrédités et ajouts'!E162</f>
        <v>Hormone de croissance GH</v>
      </c>
      <c r="D149" s="48" t="str">
        <f>'Examens accrédités et ajouts'!F162</f>
        <v>Sang</v>
      </c>
      <c r="E149" s="182" t="str">
        <f>'Examens accrédités et ajouts'!Q162</f>
        <v>BM BB01 _ A _ Chimiluminescence _ Quantitatif _ Automatisée _ 1 _ LIAISON XL</v>
      </c>
      <c r="F149" s="48" t="str">
        <f>'Examens accrédités et ajouts'!L162</f>
        <v>27676 v1</v>
      </c>
      <c r="G149" s="48">
        <f>'Examens accrédités et ajouts'!M162</f>
        <v>0</v>
      </c>
    </row>
    <row r="150" spans="1:7" hidden="1" x14ac:dyDescent="0.2">
      <c r="A150" s="48" t="str">
        <f>'Examens accrédités et ajouts'!A163</f>
        <v>HOPITAL CHARLES NICOLLE CHU ROUEN</v>
      </c>
      <c r="B150" s="48" t="str">
        <f>'Examens accrédités et ajouts'!B163</f>
        <v>Biochimie Générale</v>
      </c>
      <c r="C150" s="48" t="str">
        <f>'Examens accrédités et ajouts'!E163</f>
        <v>IGF1</v>
      </c>
      <c r="D150" s="48" t="str">
        <f>'Examens accrédités et ajouts'!F163</f>
        <v>Sang</v>
      </c>
      <c r="E150" s="182" t="str">
        <f>'Examens accrédités et ajouts'!Q163</f>
        <v>BM BB01 _ A _ Chimiluminescence _ Quantitatif _ Automatisée _ 1 _ LIAISON XL</v>
      </c>
      <c r="F150" s="48" t="str">
        <f>'Examens accrédités et ajouts'!L163</f>
        <v>27668 v1</v>
      </c>
      <c r="G150" s="48">
        <f>'Examens accrédités et ajouts'!M163</f>
        <v>0</v>
      </c>
    </row>
    <row r="151" spans="1:7" hidden="1" x14ac:dyDescent="0.2">
      <c r="A151" s="48" t="str">
        <f>'Examens accrédités et ajouts'!A164</f>
        <v>HOPITAL CHARLES NICOLLE CHU ROUEN</v>
      </c>
      <c r="B151" s="48" t="str">
        <f>'Examens accrédités et ajouts'!B164</f>
        <v>Biochimie Générale</v>
      </c>
      <c r="C151" s="48" t="str">
        <f>'Examens accrédités et ajouts'!E164</f>
        <v>Rénine</v>
      </c>
      <c r="D151" s="48" t="str">
        <f>'Examens accrédités et ajouts'!F164</f>
        <v>Sang</v>
      </c>
      <c r="E151" s="182" t="str">
        <f>'Examens accrédités et ajouts'!Q164</f>
        <v>BM BB01 _ A _ Chimiluminescence _ Quantitatif _ Automatisée _ 1 _ LIAISON XL</v>
      </c>
      <c r="F151" s="48" t="str">
        <f>'Examens accrédités et ajouts'!L164</f>
        <v>28011 v1</v>
      </c>
      <c r="G151" s="48">
        <f>'Examens accrédités et ajouts'!M164</f>
        <v>0</v>
      </c>
    </row>
    <row r="152" spans="1:7" hidden="1" x14ac:dyDescent="0.2">
      <c r="A152" s="48" t="str">
        <f>'Examens accrédités et ajouts'!A165</f>
        <v>HOPITAL CHARLES NICOLLE CHU ROUEN</v>
      </c>
      <c r="B152" s="48" t="str">
        <f>'Examens accrédités et ajouts'!B165</f>
        <v>Biochimie Générale</v>
      </c>
      <c r="C152" s="48" t="str">
        <f>'Examens accrédités et ajouts'!E165</f>
        <v>1,25 - OH vitamine D</v>
      </c>
      <c r="D152" s="48" t="str">
        <f>'Examens accrédités et ajouts'!F165</f>
        <v>Sang</v>
      </c>
      <c r="E152" s="182" t="str">
        <f>'Examens accrédités et ajouts'!Q165</f>
        <v>BM BB01 _ A _ Chimiluminescence _ Quantitatif _ Automatisée _ 1 _ LIAISON XL</v>
      </c>
      <c r="F152" s="48" t="str">
        <f>'Examens accrédités et ajouts'!L165</f>
        <v>28012 v1</v>
      </c>
      <c r="G152" s="48">
        <f>'Examens accrédités et ajouts'!M165</f>
        <v>0</v>
      </c>
    </row>
    <row r="153" spans="1:7" hidden="1" x14ac:dyDescent="0.2">
      <c r="A153" s="48" t="str">
        <f>'Examens accrédités et ajouts'!A166</f>
        <v>HOPITAL CHARLES NICOLLE CHU ROUEN</v>
      </c>
      <c r="B153" s="48" t="str">
        <f>'Examens accrédités et ajouts'!B166</f>
        <v>Biochimie Générale</v>
      </c>
      <c r="C153" s="48" t="str">
        <f>'Examens accrédités et ajouts'!E166</f>
        <v>Calcul du coefficient de saturation de la transferrine</v>
      </c>
      <c r="D153" s="48" t="str">
        <f>'Examens accrédités et ajouts'!F166</f>
        <v>Sang</v>
      </c>
      <c r="E153" s="182" t="str">
        <f>'Examens accrédités et ajouts'!Q166</f>
        <v>BM BB01 _ A _ Calcul _ Quantitatif _ Non Applicable _ Non Applicable _ Non Applicable</v>
      </c>
      <c r="F153" s="48" t="str">
        <f>'Examens accrédités et ajouts'!L166</f>
        <v>25088 v2</v>
      </c>
      <c r="G153" s="48">
        <f>'Examens accrédités et ajouts'!M166</f>
        <v>0</v>
      </c>
    </row>
    <row r="154" spans="1:7" hidden="1" x14ac:dyDescent="0.2">
      <c r="A154" s="48" t="str">
        <f>'Examens accrédités et ajouts'!A167</f>
        <v>HOPITAL CHARLES NICOLLE CHU ROUEN</v>
      </c>
      <c r="B154" s="48" t="str">
        <f>'Examens accrédités et ajouts'!B167</f>
        <v>Biochimie Générale</v>
      </c>
      <c r="C154" s="48" t="str">
        <f>'Examens accrédités et ajouts'!E167</f>
        <v>PAPP-A pour le dépistage de la T21</v>
      </c>
      <c r="D154" s="48" t="str">
        <f>'Examens accrédités et ajouts'!F167</f>
        <v>Sang</v>
      </c>
      <c r="E154" s="182" t="str">
        <f>'Examens accrédités et ajouts'!Q167</f>
        <v xml:space="preserve">BM BB01 _ A _ Technologie TRACE _ Quantitatif _ Automatisée _ 1 _ Automate Kryptor Compact Plus (societé Thermo Scientific) </v>
      </c>
      <c r="F154" s="48" t="str">
        <f>'Examens accrédités et ajouts'!L167</f>
        <v>23801 v1</v>
      </c>
      <c r="G154" s="48">
        <f>'Examens accrédités et ajouts'!M167</f>
        <v>0</v>
      </c>
    </row>
    <row r="155" spans="1:7" hidden="1" x14ac:dyDescent="0.2">
      <c r="A155" s="48" t="str">
        <f>'Examens accrédités et ajouts'!A168</f>
        <v>HOPITAL CHARLES NICOLLE CHU ROUEN</v>
      </c>
      <c r="B155" s="48" t="str">
        <f>'Examens accrédités et ajouts'!B168</f>
        <v>Biochimie Générale</v>
      </c>
      <c r="C155" s="48" t="str">
        <f>'Examens accrédités et ajouts'!E168</f>
        <v>AFP pour le dépistage de la T21</v>
      </c>
      <c r="D155" s="48" t="str">
        <f>'Examens accrédités et ajouts'!F168</f>
        <v>Sang</v>
      </c>
      <c r="E155" s="182" t="str">
        <f>'Examens accrédités et ajouts'!Q168</f>
        <v xml:space="preserve">BM BB01 _ A _ Technologie TRACE _ Quantitatif _ Automatisée _ 1 _ Automate Kryptor Compact Plus (societé Thermo Scientific) </v>
      </c>
      <c r="F155" s="48" t="str">
        <f>'Examens accrédités et ajouts'!L168</f>
        <v>23801 v1</v>
      </c>
      <c r="G155" s="48">
        <f>'Examens accrédités et ajouts'!M168</f>
        <v>0</v>
      </c>
    </row>
    <row r="156" spans="1:7" hidden="1" x14ac:dyDescent="0.2">
      <c r="A156" s="48" t="str">
        <f>'Examens accrédités et ajouts'!A169</f>
        <v>HOPITAL CHARLES NICOLLE CHU ROUEN</v>
      </c>
      <c r="B156" s="48" t="str">
        <f>'Examens accrédités et ajouts'!B169</f>
        <v>Biochimie Générale</v>
      </c>
      <c r="C156" s="48" t="str">
        <f>'Examens accrédités et ajouts'!E169</f>
        <v>Free Beta pour le dépistage de la T21</v>
      </c>
      <c r="D156" s="48" t="str">
        <f>'Examens accrédités et ajouts'!F169</f>
        <v>Sang</v>
      </c>
      <c r="E156" s="182" t="str">
        <f>'Examens accrédités et ajouts'!Q169</f>
        <v xml:space="preserve">BM BB01 _ A _ Technologie TRACE _ Quantitatif _ Automatisée _ 1 _ Automate Kryptor Compact Plus (societé Thermo Scientific) </v>
      </c>
      <c r="F156" s="48" t="str">
        <f>'Examens accrédités et ajouts'!L169</f>
        <v>23801 v1</v>
      </c>
      <c r="G156" s="48">
        <f>'Examens accrédités et ajouts'!M169</f>
        <v>0</v>
      </c>
    </row>
    <row r="157" spans="1:7" hidden="1" x14ac:dyDescent="0.2">
      <c r="A157" s="48" t="str">
        <f>'Examens accrédités et ajouts'!A170</f>
        <v>HOPITAL CHARLES NICOLLE CHU ROUEN</v>
      </c>
      <c r="B157" s="48" t="str">
        <f>'Examens accrédités et ajouts'!B170</f>
        <v>Biochimie Générale</v>
      </c>
      <c r="C157" s="48" t="str">
        <f>'Examens accrédités et ajouts'!E170</f>
        <v>Osmolalité plasmatique</v>
      </c>
      <c r="D157" s="48" t="str">
        <f>'Examens accrédités et ajouts'!F170</f>
        <v>Sang</v>
      </c>
      <c r="E157" s="182" t="str">
        <f>'Examens accrédités et ajouts'!Q170</f>
        <v xml:space="preserve">BM BB01 _ A _ Cryoscopie _ Quantitatif _ Automatisée _ 1 _ OsmoPro® </v>
      </c>
      <c r="F157" s="48" t="str">
        <f>'Examens accrédités et ajouts'!L170</f>
        <v>27255 v3</v>
      </c>
      <c r="G157" s="48">
        <f>'Examens accrédités et ajouts'!M170</f>
        <v>0</v>
      </c>
    </row>
    <row r="158" spans="1:7" hidden="1" x14ac:dyDescent="0.2">
      <c r="A158" s="48" t="str">
        <f>'Examens accrédités et ajouts'!A171</f>
        <v>HOPITAL CHARLES NICOLLE CHU ROUEN</v>
      </c>
      <c r="B158" s="48" t="str">
        <f>'Examens accrédités et ajouts'!B171</f>
        <v>Biochimie Générale</v>
      </c>
      <c r="C158" s="48" t="str">
        <f>'Examens accrédités et ajouts'!E171</f>
        <v>PSA total</v>
      </c>
      <c r="D158" s="48" t="str">
        <f>'Examens accrédités et ajouts'!F171</f>
        <v>Sang</v>
      </c>
      <c r="E158" s="182" t="str">
        <f>'Examens accrédités et ajouts'!Q171</f>
        <v xml:space="preserve">BM BB01 _ A _ Chimiluminescence _ Quantitatif _ Automatisée _ 1 _ Cobas Pro Roche
</v>
      </c>
      <c r="F158" s="48" t="str">
        <f>'Examens accrédités et ajouts'!L171</f>
        <v>22308 v3</v>
      </c>
      <c r="G158" s="48" t="str">
        <f>'Examens accrédités et ajouts'!M171</f>
        <v xml:space="preserve">Changement automate:  mise en production le 25/9/24 </v>
      </c>
    </row>
    <row r="159" spans="1:7" hidden="1" x14ac:dyDescent="0.2">
      <c r="A159" s="48" t="str">
        <f>'Examens accrédités et ajouts'!A172</f>
        <v>HOPITAL CHARLES NICOLLE CHU ROUEN</v>
      </c>
      <c r="B159" s="48" t="str">
        <f>'Examens accrédités et ajouts'!B172</f>
        <v>Biochimie Générale</v>
      </c>
      <c r="C159" s="48" t="str">
        <f>'Examens accrédités et ajouts'!E172</f>
        <v>PSA libre</v>
      </c>
      <c r="D159" s="48" t="str">
        <f>'Examens accrédités et ajouts'!F172</f>
        <v>Sang</v>
      </c>
      <c r="E159" s="182" t="str">
        <f>'Examens accrédités et ajouts'!Q172</f>
        <v xml:space="preserve">BM BB01 _ A _ Chimiluminescence _ Quantitatif _ Automatisée _ 1 _ Cobas Pro Roche
</v>
      </c>
      <c r="F159" s="48" t="str">
        <f>'Examens accrédités et ajouts'!L172</f>
        <v>22308 v4</v>
      </c>
      <c r="G159" s="48" t="str">
        <f>'Examens accrédités et ajouts'!M172</f>
        <v xml:space="preserve">Changement automate:  mise en production le 25/9/24 </v>
      </c>
    </row>
    <row r="160" spans="1:7" hidden="1" x14ac:dyDescent="0.2">
      <c r="A160" s="48" t="str">
        <f>'Examens accrédités et ajouts'!A173</f>
        <v>HOPITAL CHARLES NICOLLE CHU ROUEN</v>
      </c>
      <c r="B160" s="48" t="str">
        <f>'Examens accrédités et ajouts'!B173</f>
        <v>Biochimie Générale</v>
      </c>
      <c r="C160" s="48" t="str">
        <f>'Examens accrédités et ajouts'!E173</f>
        <v>Glucose (LCR)</v>
      </c>
      <c r="D160" s="48" t="str">
        <f>'Examens accrédités et ajouts'!F173</f>
        <v>LCR</v>
      </c>
      <c r="E160" s="182" t="str">
        <f>'Examens accrédités et ajouts'!Q173</f>
        <v xml:space="preserve">BM BB01 _ A _ Enzymatique _ Quantitatif _ Automatisée _ 2 _ Cobas Pro Roche
</v>
      </c>
      <c r="F160" s="48" t="str">
        <f>'Examens accrédités et ajouts'!L173</f>
        <v>29295 v1</v>
      </c>
      <c r="G160" s="48" t="str">
        <f>'Examens accrédités et ajouts'!M173</f>
        <v>Changement automate:  mise en production le 25/9/24 et le 16/12/2024</v>
      </c>
    </row>
    <row r="161" spans="1:7" hidden="1" x14ac:dyDescent="0.2">
      <c r="A161" s="48" t="str">
        <f>'Examens accrédités et ajouts'!A174</f>
        <v>HOPITAL CHARLES NICOLLE CHU ROUEN</v>
      </c>
      <c r="B161" s="48" t="str">
        <f>'Examens accrédités et ajouts'!B174</f>
        <v>Biochimie Générale</v>
      </c>
      <c r="C161" s="48" t="str">
        <f>'Examens accrédités et ajouts'!E174</f>
        <v>Protides (LCR)</v>
      </c>
      <c r="D161" s="48" t="str">
        <f>'Examens accrédités et ajouts'!F174</f>
        <v>LCR</v>
      </c>
      <c r="E161" s="182" t="str">
        <f>'Examens accrédités et ajouts'!Q174</f>
        <v xml:space="preserve">BM BB01 _ A _ Turbidimétrie _ Quantitatif _ Automatisée _ 2 _ Cobas Pro Roche
</v>
      </c>
      <c r="F161" s="48" t="str">
        <f>'Examens accrédités et ajouts'!L174</f>
        <v>29072 v2</v>
      </c>
      <c r="G161" s="48" t="str">
        <f>'Examens accrédités et ajouts'!M174</f>
        <v>Changement automate:  mise en production le 25/9/24 et le 16/12/2024</v>
      </c>
    </row>
    <row r="162" spans="1:7" hidden="1" x14ac:dyDescent="0.2">
      <c r="A162" s="48" t="str">
        <f>'Examens accrédités et ajouts'!A175</f>
        <v>HOPITAL CHARLES NICOLLE CHU ROUEN</v>
      </c>
      <c r="B162" s="48" t="str">
        <f>'Examens accrédités et ajouts'!B175</f>
        <v>Biochimie Générale</v>
      </c>
      <c r="C162" s="48" t="str">
        <f>'Examens accrédités et ajouts'!E175</f>
        <v>Lactate (LCR)</v>
      </c>
      <c r="D162" s="48" t="str">
        <f>'Examens accrédités et ajouts'!F175</f>
        <v>LCR</v>
      </c>
      <c r="E162" s="182" t="str">
        <f>'Examens accrédités et ajouts'!Q175</f>
        <v xml:space="preserve">BM BB01 _ A _ Enzymatique  _ Quantitatif _ Automatisée _ 2 _ Cobas Pro Roche
</v>
      </c>
      <c r="F162" s="48" t="str">
        <f>'Examens accrédités et ajouts'!L175</f>
        <v>29329 v1</v>
      </c>
      <c r="G162" s="48" t="str">
        <f>'Examens accrédités et ajouts'!M175</f>
        <v>Changement automate:  mise en production le 25/9/24 et le 16/12/2024</v>
      </c>
    </row>
    <row r="163" spans="1:7" hidden="1" x14ac:dyDescent="0.2">
      <c r="A163" s="48" t="str">
        <f>'Examens accrédités et ajouts'!A176</f>
        <v>HOPITAL CHARLES NICOLLE CHU ROUEN</v>
      </c>
      <c r="B163" s="48" t="str">
        <f>'Examens accrédités et ajouts'!B176</f>
        <v>Biochimie Générale</v>
      </c>
      <c r="C163" s="48" t="str">
        <f>'Examens accrédités et ajouts'!E176</f>
        <v>Pseudocholinestérase</v>
      </c>
      <c r="D163" s="48" t="str">
        <f>'Examens accrédités et ajouts'!F176</f>
        <v>Sang</v>
      </c>
      <c r="E163" s="182" t="str">
        <f>'Examens accrédités et ajouts'!Q176</f>
        <v xml:space="preserve">BM BB01 _ A _ Colorimétrique _ Quantitatif _ Automatisée _ 1 _ Cobas Pro Roche
</v>
      </c>
      <c r="F163" s="48" t="str">
        <f>'Examens accrédités et ajouts'!L176</f>
        <v>29650 v1</v>
      </c>
      <c r="G163" s="48" t="str">
        <f>'Examens accrédités et ajouts'!M176</f>
        <v xml:space="preserve">Changement automate:  mise en production le 25/9/24 </v>
      </c>
    </row>
    <row r="164" spans="1:7" hidden="1" x14ac:dyDescent="0.2">
      <c r="A164" s="48" t="str">
        <f>'Examens accrédités et ajouts'!A177</f>
        <v>HOPITAL CHARLES NICOLLE CHU ROUEN</v>
      </c>
      <c r="B164" s="48" t="str">
        <f>'Examens accrédités et ajouts'!B177</f>
        <v>Biochimie Générale</v>
      </c>
      <c r="C164" s="48" t="str">
        <f>'Examens accrédités et ajouts'!E177</f>
        <v>Acides biliaires</v>
      </c>
      <c r="D164" s="48" t="str">
        <f>'Examens accrédités et ajouts'!F177</f>
        <v>Sang</v>
      </c>
      <c r="E164" s="182" t="str">
        <f>'Examens accrédités et ajouts'!Q177</f>
        <v xml:space="preserve">BM BB01 _ A _ Enzymatique  _ Quantitatif _ Automatisée _ 1 _ Cobas Pro Roche
</v>
      </c>
      <c r="F164" s="48" t="str">
        <f>'Examens accrédités et ajouts'!L177</f>
        <v>29652 v1</v>
      </c>
      <c r="G164" s="48" t="str">
        <f>'Examens accrédités et ajouts'!M177</f>
        <v xml:space="preserve">Changement automate:  mise en production le 25/9/24 </v>
      </c>
    </row>
    <row r="165" spans="1:7" hidden="1" x14ac:dyDescent="0.2">
      <c r="A165" s="48" t="str">
        <f>'Examens accrédités et ajouts'!A178</f>
        <v>HOPITAL CHARLES NICOLLE CHU ROUEN</v>
      </c>
      <c r="B165" s="48" t="str">
        <f>'Examens accrédités et ajouts'!B178</f>
        <v>Biochimie Générale</v>
      </c>
      <c r="C165" s="48" t="str">
        <f>'Examens accrédités et ajouts'!E178</f>
        <v>Alpha 1 microglobuline urinaire</v>
      </c>
      <c r="D165" s="48" t="str">
        <f>'Examens accrédités et ajouts'!F178</f>
        <v>Urine</v>
      </c>
      <c r="E165" s="182" t="str">
        <f>'Examens accrédités et ajouts'!Q178</f>
        <v>BM BB01 _ A _ Turbidimétrie  _ Quantitatif _ Automatisée _ 1 _ Optilite de The Binding Site</v>
      </c>
      <c r="F165" s="48" t="str">
        <f>'Examens accrédités et ajouts'!L178</f>
        <v>29919 v2</v>
      </c>
      <c r="G165" s="48">
        <f>'Examens accrédités et ajouts'!M178</f>
        <v>0</v>
      </c>
    </row>
    <row r="166" spans="1:7" hidden="1" x14ac:dyDescent="0.2">
      <c r="A166" s="48" t="str">
        <f>'Examens accrédités et ajouts'!A179</f>
        <v>HOPITAL CHARLES NICOLLE CHU ROUEN</v>
      </c>
      <c r="B166" s="48" t="str">
        <f>'Examens accrédités et ajouts'!B179</f>
        <v>Biochimie Générale</v>
      </c>
      <c r="C166" s="48" t="str">
        <f>'Examens accrédités et ajouts'!E179</f>
        <v>Sulfate de DHEA sanguin</v>
      </c>
      <c r="D166" s="48" t="str">
        <f>'Examens accrédités et ajouts'!F179</f>
        <v>Sang</v>
      </c>
      <c r="E166" s="182" t="str">
        <f>'Examens accrédités et ajouts'!Q179</f>
        <v>BM BB01 _ A _ Chimiluminescence, methode par compétition en utilisant un anticorps monoclonal _ Quantitatif _ Automatisée _ 1 _ DiaSorin Liaison XL</v>
      </c>
      <c r="F166" s="48" t="str">
        <f>'Examens accrédités et ajouts'!L179</f>
        <v>30387 v1</v>
      </c>
      <c r="G166" s="48">
        <f>'Examens accrédités et ajouts'!M179</f>
        <v>0</v>
      </c>
    </row>
    <row r="167" spans="1:7" hidden="1" x14ac:dyDescent="0.2">
      <c r="A167" s="48" t="str">
        <f>'Examens accrédités et ajouts'!A180</f>
        <v>HOPITAL CHARLES NICOLLE CHU ROUEN</v>
      </c>
      <c r="B167" s="48" t="str">
        <f>'Examens accrédités et ajouts'!B180</f>
        <v>Biochimie Générale</v>
      </c>
      <c r="C167" s="48" t="str">
        <f>'Examens accrédités et ajouts'!E180</f>
        <v>Ostéocalcine sanguin</v>
      </c>
      <c r="D167" s="48" t="str">
        <f>'Examens accrédités et ajouts'!F180</f>
        <v>Sang</v>
      </c>
      <c r="E167" s="182" t="str">
        <f>'Examens accrédités et ajouts'!Q180</f>
        <v>BM BB01 _ A _ Chimiluminescence _ Quantitatif _ Automatisée _ 1 _ DiaSorin Liaison XL</v>
      </c>
      <c r="F167" s="48" t="str">
        <f>'Examens accrédités et ajouts'!L180</f>
        <v>30401 v1</v>
      </c>
      <c r="G167" s="48">
        <f>'Examens accrédités et ajouts'!M180</f>
        <v>0</v>
      </c>
    </row>
    <row r="168" spans="1:7" hidden="1" x14ac:dyDescent="0.2">
      <c r="A168" s="48" t="str">
        <f>'Examens accrédités et ajouts'!A181</f>
        <v>HOPITAL CHARLES NICOLLE CHU ROUEN</v>
      </c>
      <c r="B168" s="48" t="str">
        <f>'Examens accrédités et ajouts'!B181</f>
        <v>Biochimie Générale</v>
      </c>
      <c r="C168" s="48" t="str">
        <f>'Examens accrédités et ajouts'!E181</f>
        <v>Phosphatases alcalines osseuses sanguin</v>
      </c>
      <c r="D168" s="48" t="str">
        <f>'Examens accrédités et ajouts'!F181</f>
        <v>Sang</v>
      </c>
      <c r="E168" s="182" t="str">
        <f>'Examens accrédités et ajouts'!Q181</f>
        <v>BM BB01 _ A _ Chimiluminescence, méthode sandwich utilisant deux anticorps monoclonaux reconnaissant l'isoforme osseuse de la phosphatase alcaline _ Quantitatif _ Automatisée _ 1 _ DiaSorin Liaison XL</v>
      </c>
      <c r="F168" s="48" t="str">
        <f>'Examens accrédités et ajouts'!L181</f>
        <v>30399 v1</v>
      </c>
      <c r="G168" s="48">
        <f>'Examens accrédités et ajouts'!M181</f>
        <v>0</v>
      </c>
    </row>
    <row r="169" spans="1:7" hidden="1" x14ac:dyDescent="0.2">
      <c r="A169" s="48" t="str">
        <f>'Examens accrédités et ajouts'!A182</f>
        <v>HOPITAL CHARLES NICOLLE CHU ROUEN</v>
      </c>
      <c r="B169" s="48" t="str">
        <f>'Examens accrédités et ajouts'!B182</f>
        <v>Biochimie Générale</v>
      </c>
      <c r="C169" s="48" t="str">
        <f>'Examens accrédités et ajouts'!E182</f>
        <v>Calcitonine sanguin</v>
      </c>
      <c r="D169" s="48" t="str">
        <f>'Examens accrédités et ajouts'!F182</f>
        <v>Sang</v>
      </c>
      <c r="E169" s="182" t="str">
        <f>'Examens accrédités et ajouts'!Q182</f>
        <v>BM BB01 _ A _ Chimiluminescence _ Quantitatif _ Automatisée _ 1 _ DiaSorin Liaison XL</v>
      </c>
      <c r="F169" s="48" t="str">
        <f>'Examens accrédités et ajouts'!L182</f>
        <v>30386 v1</v>
      </c>
      <c r="G169" s="48">
        <f>'Examens accrédités et ajouts'!M182</f>
        <v>0</v>
      </c>
    </row>
    <row r="170" spans="1:7" hidden="1" x14ac:dyDescent="0.2">
      <c r="A170" s="48" t="str">
        <f>'Examens accrédités et ajouts'!A183</f>
        <v>HOPITAL CHARLES NICOLLE CHU ROUEN</v>
      </c>
      <c r="B170" s="48" t="str">
        <f>'Examens accrédités et ajouts'!B183</f>
        <v>Biochimie Générale</v>
      </c>
      <c r="C170" s="48" t="str">
        <f>'Examens accrédités et ajouts'!E183</f>
        <v>Aldostérone sanguin</v>
      </c>
      <c r="D170" s="48" t="str">
        <f>'Examens accrédités et ajouts'!F183</f>
        <v>Sang</v>
      </c>
      <c r="E170" s="182" t="str">
        <f>'Examens accrédités et ajouts'!Q183</f>
        <v>BM BB01 _ A _ Chimiluminescence, méthode par compétition utilisant un anticorps monoclona _ Quantitatif _ Automatisée _ 1 _ DiaSorin Liaison XL</v>
      </c>
      <c r="F170" s="48" t="str">
        <f>'Examens accrédités et ajouts'!L183</f>
        <v>30385 v1</v>
      </c>
      <c r="G170" s="48">
        <f>'Examens accrédités et ajouts'!M183</f>
        <v>0</v>
      </c>
    </row>
    <row r="171" spans="1:7" hidden="1" x14ac:dyDescent="0.2">
      <c r="A171" s="48" t="str">
        <f>'Examens accrédités et ajouts'!A184</f>
        <v>HOPITAL CHARLES NICOLLE CHU ROUEN</v>
      </c>
      <c r="B171" s="48" t="str">
        <f>'Examens accrédités et ajouts'!B184</f>
        <v>Biochimie Générale</v>
      </c>
      <c r="C171" s="48" t="str">
        <f>'Examens accrédités et ajouts'!E184</f>
        <v>Albumine urinaire</v>
      </c>
      <c r="D171" s="48" t="str">
        <f>'Examens accrédités et ajouts'!F184</f>
        <v>Urine</v>
      </c>
      <c r="E171" s="182" t="str">
        <f>'Examens accrédités et ajouts'!Q184</f>
        <v>BM BB01 _ A _ Turbidimétrie _ Quantitatif _ Automatisée _ 1 _ Optilite de The Binding Site</v>
      </c>
      <c r="F171" s="48" t="str">
        <f>'Examens accrédités et ajouts'!L184</f>
        <v>30511 v2</v>
      </c>
      <c r="G171" s="48">
        <f>'Examens accrédités et ajouts'!M184</f>
        <v>0</v>
      </c>
    </row>
    <row r="172" spans="1:7" hidden="1" x14ac:dyDescent="0.2">
      <c r="A172" s="48" t="str">
        <f>'Examens accrédités et ajouts'!A185</f>
        <v>HOPITAL CHARLES NICOLLE CHU ROUEN</v>
      </c>
      <c r="B172" s="48" t="str">
        <f>'Examens accrédités et ajouts'!B185</f>
        <v>Biochimie Générale</v>
      </c>
      <c r="C172" s="48" t="str">
        <f>'Examens accrédités et ajouts'!E185</f>
        <v>Chaines légères kappa urinaires</v>
      </c>
      <c r="D172" s="48" t="str">
        <f>'Examens accrédités et ajouts'!F185</f>
        <v>Urine</v>
      </c>
      <c r="E172" s="182" t="str">
        <f>'Examens accrédités et ajouts'!Q185</f>
        <v>BM BB01 _ A _ Turbidimétrie _ Quantitatif _ Automatisée _ 1 _ Optilite de The Binding Site</v>
      </c>
      <c r="F172" s="48" t="str">
        <f>'Examens accrédités et ajouts'!L185</f>
        <v>27428 v3</v>
      </c>
      <c r="G172" s="48">
        <f>'Examens accrédités et ajouts'!M185</f>
        <v>0</v>
      </c>
    </row>
    <row r="173" spans="1:7" hidden="1" x14ac:dyDescent="0.2">
      <c r="A173" s="48" t="str">
        <f>'Examens accrédités et ajouts'!A186</f>
        <v>HOPITAL CHARLES NICOLLE CHU ROUEN</v>
      </c>
      <c r="B173" s="48" t="str">
        <f>'Examens accrédités et ajouts'!B186</f>
        <v>Biochimie Générale</v>
      </c>
      <c r="C173" s="48" t="str">
        <f>'Examens accrédités et ajouts'!E186</f>
        <v>Chaines légères lambda urinaires</v>
      </c>
      <c r="D173" s="48" t="str">
        <f>'Examens accrédités et ajouts'!F186</f>
        <v>Urine</v>
      </c>
      <c r="E173" s="182" t="str">
        <f>'Examens accrédités et ajouts'!Q186</f>
        <v>BM BB01 _ A _ Turbidimétrie _ Quantitatif _ Automatisée _ 1 _ Optilite de The Binding Site</v>
      </c>
      <c r="F173" s="48" t="str">
        <f>'Examens accrédités et ajouts'!L186</f>
        <v>27428 v3</v>
      </c>
      <c r="G173" s="48">
        <f>'Examens accrédités et ajouts'!M186</f>
        <v>0</v>
      </c>
    </row>
    <row r="174" spans="1:7" hidden="1" x14ac:dyDescent="0.2">
      <c r="A174" s="48" t="str">
        <f>'Examens accrédités et ajouts'!A187</f>
        <v>HOPITAL CHARLES NICOLLE CHU ROUEN</v>
      </c>
      <c r="B174" s="48" t="str">
        <f>'Examens accrédités et ajouts'!B187</f>
        <v>Biochimie Générale</v>
      </c>
      <c r="C174" s="48" t="str">
        <f>'Examens accrédités et ajouts'!E187</f>
        <v>Chromogranine A</v>
      </c>
      <c r="D174" s="48" t="str">
        <f>'Examens accrédités et ajouts'!F187</f>
        <v>Sang</v>
      </c>
      <c r="E174" s="182" t="str">
        <f>'Examens accrédités et ajouts'!Q187</f>
        <v xml:space="preserve">BM BB01 _ A _ Technologie TRACE _ Quantitatif _ Automatisée _ 1 _ Automate Kryptor Compact Plus (societé Thermo Scientific) </v>
      </c>
      <c r="F174" s="48" t="str">
        <f>'Examens accrédités et ajouts'!L187</f>
        <v>30809 v1</v>
      </c>
      <c r="G174" s="48">
        <f>'Examens accrédités et ajouts'!M187</f>
        <v>0</v>
      </c>
    </row>
    <row r="175" spans="1:7" hidden="1" x14ac:dyDescent="0.2">
      <c r="A175" s="48" t="str">
        <f>'Examens accrédités et ajouts'!A188</f>
        <v>HOPITAL CHARLES NICOLLE CHU ROUEN</v>
      </c>
      <c r="B175" s="48" t="str">
        <f>'Examens accrédités et ajouts'!B188</f>
        <v>Biochimie Générale</v>
      </c>
      <c r="C175" s="48" t="str">
        <f>'Examens accrédités et ajouts'!E188</f>
        <v>Protides urinaires</v>
      </c>
      <c r="D175" s="48" t="str">
        <f>'Examens accrédités et ajouts'!F188</f>
        <v>Urine</v>
      </c>
      <c r="E175" s="182" t="str">
        <f>'Examens accrédités et ajouts'!Q188</f>
        <v xml:space="preserve">BM BB01 _ A _ Turbidimétrie _ Quantitatif _ Automatisée _ 1 _ Cobas Pro Roche
</v>
      </c>
      <c r="F175" s="48" t="str">
        <f>'Examens accrédités et ajouts'!L188</f>
        <v>29072 v2</v>
      </c>
      <c r="G175" s="48" t="str">
        <f>'Examens accrédités et ajouts'!M188</f>
        <v>Changement automate:  mise en production le 25/9/24 et le 16/12/2024</v>
      </c>
    </row>
    <row r="176" spans="1:7" hidden="1" x14ac:dyDescent="0.2">
      <c r="A176" s="48" t="str">
        <f>'Examens accrédités et ajouts'!A189</f>
        <v>HOPITAL CHARLES NICOLLE CHU ROUEN</v>
      </c>
      <c r="B176" s="48" t="str">
        <f>'Examens accrédités et ajouts'!B189</f>
        <v>Biochimie Générale</v>
      </c>
      <c r="C176" s="48" t="str">
        <f>'Examens accrédités et ajouts'!E189</f>
        <v>Amylase plasmatique</v>
      </c>
      <c r="D176" s="48" t="str">
        <f>'Examens accrédités et ajouts'!F189</f>
        <v>Sang</v>
      </c>
      <c r="E176" s="182" t="str">
        <f>'Examens accrédités et ajouts'!Q189</f>
        <v xml:space="preserve">BM BB01 _ A _ Colorimétrique _ Quantitatif _ Automatisée _ 2 _ Cobas Pro Roche
</v>
      </c>
      <c r="F176" s="48" t="str">
        <f>'Examens accrédités et ajouts'!L189</f>
        <v>31011 v1</v>
      </c>
      <c r="G176" s="48" t="str">
        <f>'Examens accrédités et ajouts'!M189</f>
        <v>Changement automate:  mise en production le 25/9/24 et le 16/12/2024</v>
      </c>
    </row>
    <row r="177" spans="1:7" hidden="1" x14ac:dyDescent="0.2">
      <c r="A177" s="48" t="str">
        <f>'Examens accrédités et ajouts'!A190</f>
        <v>HOPITAL CHARLES NICOLLE CHU ROUEN</v>
      </c>
      <c r="B177" s="48" t="str">
        <f>'Examens accrédités et ajouts'!B190</f>
        <v>Biochimie Générale</v>
      </c>
      <c r="C177" s="48" t="str">
        <f>'Examens accrédités et ajouts'!E190</f>
        <v>Osmolalité (urines)</v>
      </c>
      <c r="D177" s="48" t="str">
        <f>'Examens accrédités et ajouts'!F190</f>
        <v>Urine</v>
      </c>
      <c r="E177" s="182" t="str">
        <f>'Examens accrédités et ajouts'!Q190</f>
        <v xml:space="preserve">BM BB01 _ A _ Cryoscopie _ Quantitatif _ Automatisée _ 1 _ OsmoPro® </v>
      </c>
      <c r="F177" s="48" t="str">
        <f>'Examens accrédités et ajouts'!L190</f>
        <v>27255 v3</v>
      </c>
      <c r="G177" s="48">
        <f>'Examens accrédités et ajouts'!M190</f>
        <v>0</v>
      </c>
    </row>
    <row r="178" spans="1:7" hidden="1" x14ac:dyDescent="0.2">
      <c r="A178" s="48" t="str">
        <f>'Examens accrédités et ajouts'!A191</f>
        <v>HOPITAL CHARLES NICOLLE CHU ROUEN</v>
      </c>
      <c r="B178" s="48" t="str">
        <f>'Examens accrédités et ajouts'!B191</f>
        <v>Biochimie Générale</v>
      </c>
      <c r="C178" s="48" t="str">
        <f>'Examens accrédités et ajouts'!E191</f>
        <v>CRP US ultrasensible</v>
      </c>
      <c r="D178" s="48" t="str">
        <f>'Examens accrédités et ajouts'!F191</f>
        <v>Sang</v>
      </c>
      <c r="E178" s="182" t="str">
        <f>'Examens accrédités et ajouts'!Q191</f>
        <v>BM BB01 _ A _ Turbidimétrie _ Quantitatif _ Automatisée _ 1 _ Optilite de The Binding Site</v>
      </c>
      <c r="F178" s="48" t="str">
        <f>'Examens accrédités et ajouts'!L191</f>
        <v>31719 v2</v>
      </c>
      <c r="G178" s="48">
        <f>'Examens accrédités et ajouts'!M191</f>
        <v>0</v>
      </c>
    </row>
    <row r="179" spans="1:7" hidden="1" x14ac:dyDescent="0.2">
      <c r="A179" s="48" t="str">
        <f>'Examens accrédités et ajouts'!A192</f>
        <v>HOPITAL CHARLES NICOLLE CHU ROUEN</v>
      </c>
      <c r="B179" s="48" t="str">
        <f>'Examens accrédités et ajouts'!B192</f>
        <v>Biochimie Générale</v>
      </c>
      <c r="C179" s="48" t="str">
        <f>'Examens accrédités et ajouts'!E192</f>
        <v>C1 inhibiteur</v>
      </c>
      <c r="D179" s="48" t="str">
        <f>'Examens accrédités et ajouts'!F192</f>
        <v>Sang</v>
      </c>
      <c r="E179" s="182" t="str">
        <f>'Examens accrédités et ajouts'!Q192</f>
        <v>BM BB01 _ A _ Turbidimétrie _ Quantitatif _ Automatisée _ 1 _ Optilite de The Binding Site</v>
      </c>
      <c r="F179" s="48" t="str">
        <f>'Examens accrédités et ajouts'!L192</f>
        <v>31972 v4</v>
      </c>
      <c r="G179" s="48">
        <f>'Examens accrédités et ajouts'!M192</f>
        <v>0</v>
      </c>
    </row>
    <row r="180" spans="1:7" hidden="1" x14ac:dyDescent="0.2">
      <c r="A180" s="48" t="str">
        <f>'Examens accrédités et ajouts'!A193</f>
        <v>HOPITAL CHARLES NICOLLE CHU ROUEN</v>
      </c>
      <c r="B180" s="48" t="str">
        <f>'Examens accrédités et ajouts'!B193</f>
        <v>Biochimie Générale</v>
      </c>
      <c r="C180" s="48" t="str">
        <f>'Examens accrédités et ajouts'!E193</f>
        <v>Urée urinaire</v>
      </c>
      <c r="D180" s="48" t="str">
        <f>'Examens accrédités et ajouts'!F193</f>
        <v>Urine</v>
      </c>
      <c r="E180" s="182" t="str">
        <f>'Examens accrédités et ajouts'!Q193</f>
        <v xml:space="preserve">BM BB01 _ A _ Enzymatique _ Quantitatif _ Automatisée _ 2 _ Cobas Pro Roche
</v>
      </c>
      <c r="F180" s="48" t="str">
        <f>'Examens accrédités et ajouts'!L193</f>
        <v>15075 v6</v>
      </c>
      <c r="G180" s="48" t="str">
        <f>'Examens accrédités et ajouts'!M193</f>
        <v>Changement automate:  mise en production le 25/9/24 et le 16/12/2024</v>
      </c>
    </row>
    <row r="181" spans="1:7" hidden="1" x14ac:dyDescent="0.2">
      <c r="A181" s="48" t="str">
        <f>'Examens accrédités et ajouts'!A194</f>
        <v>HOPITAL CHARLES NICOLLE CHU ROUEN</v>
      </c>
      <c r="B181" s="48" t="str">
        <f>'Examens accrédités et ajouts'!B194</f>
        <v>Biochimie Générale</v>
      </c>
      <c r="C181" s="48" t="str">
        <f>'Examens accrédités et ajouts'!E194</f>
        <v>Acide urique urinaire</v>
      </c>
      <c r="D181" s="48" t="str">
        <f>'Examens accrédités et ajouts'!F194</f>
        <v>Urine</v>
      </c>
      <c r="E181" s="182" t="str">
        <f>'Examens accrédités et ajouts'!Q194</f>
        <v xml:space="preserve">BM BB01 _ A _ Enzymatique _ Quantitatif _ Automatisée _ 2 _ Cobas Pro Roche
</v>
      </c>
      <c r="F181" s="48" t="str">
        <f>'Examens accrédités et ajouts'!L194</f>
        <v>26271 v2</v>
      </c>
      <c r="G181" s="48" t="str">
        <f>'Examens accrédités et ajouts'!M194</f>
        <v>Changement automate:  mise en production le 25/9/24 et le 16/12/2024</v>
      </c>
    </row>
    <row r="182" spans="1:7" hidden="1" x14ac:dyDescent="0.2">
      <c r="A182" s="48" t="str">
        <f>'Examens accrédités et ajouts'!A195</f>
        <v>HOPITAL CHARLES NICOLLE CHU ROUEN</v>
      </c>
      <c r="B182" s="48" t="str">
        <f>'Examens accrédités et ajouts'!B195</f>
        <v>Biochimie Générale</v>
      </c>
      <c r="C182" s="48" t="str">
        <f>'Examens accrédités et ajouts'!E195</f>
        <v>Calcium urinaire</v>
      </c>
      <c r="D182" s="48" t="str">
        <f>'Examens accrédités et ajouts'!F195</f>
        <v>Urine</v>
      </c>
      <c r="E182" s="182" t="str">
        <f>'Examens accrédités et ajouts'!Q195</f>
        <v xml:space="preserve">BM BB01 _ A _ Spectrophotométrique _ Quantitatif _ Automatisée _ 2 _ Cobas Pro Roche
</v>
      </c>
      <c r="F182" s="48" t="str">
        <f>'Examens accrédités et ajouts'!L195</f>
        <v>15026 v5</v>
      </c>
      <c r="G182" s="48" t="str">
        <f>'Examens accrédités et ajouts'!M195</f>
        <v>Changement automate:  mise en production le 25/9/24 et le 16/12/2024</v>
      </c>
    </row>
    <row r="183" spans="1:7" hidden="1" x14ac:dyDescent="0.2">
      <c r="A183" s="48" t="str">
        <f>'Examens accrédités et ajouts'!A196</f>
        <v>HOPITAL CHARLES NICOLLE CHU ROUEN</v>
      </c>
      <c r="B183" s="48" t="str">
        <f>'Examens accrédités et ajouts'!B196</f>
        <v>Biochimie Générale</v>
      </c>
      <c r="C183" s="48" t="str">
        <f>'Examens accrédités et ajouts'!E196</f>
        <v>Glucose urinaire</v>
      </c>
      <c r="D183" s="48" t="str">
        <f>'Examens accrédités et ajouts'!F196</f>
        <v>Urine</v>
      </c>
      <c r="E183" s="182" t="str">
        <f>'Examens accrédités et ajouts'!Q196</f>
        <v xml:space="preserve">BM BB01 _ A _ Enzymatique _ Quantitatif _ Automatisée _ 2 _ Cobas Pro Roche
</v>
      </c>
      <c r="F183" s="48" t="str">
        <f>'Examens accrédités et ajouts'!L196</f>
        <v>26931 v3</v>
      </c>
      <c r="G183" s="48" t="str">
        <f>'Examens accrédités et ajouts'!M196</f>
        <v>Changement automate:  mise en production le 25/9/24 et le 16/12/2024</v>
      </c>
    </row>
    <row r="184" spans="1:7" hidden="1" x14ac:dyDescent="0.2">
      <c r="A184" s="48" t="str">
        <f>'Examens accrédités et ajouts'!A197</f>
        <v>HOPITAL CHARLES NICOLLE CHU ROUEN</v>
      </c>
      <c r="B184" s="48" t="str">
        <f>'Examens accrédités et ajouts'!B197</f>
        <v>Biochimie Générale</v>
      </c>
      <c r="C184" s="48" t="str">
        <f>'Examens accrédités et ajouts'!E197</f>
        <v>Phospore urinaire</v>
      </c>
      <c r="D184" s="48" t="str">
        <f>'Examens accrédités et ajouts'!F197</f>
        <v>Urine</v>
      </c>
      <c r="E184" s="182" t="str">
        <f>'Examens accrédités et ajouts'!Q197</f>
        <v xml:space="preserve">BM BB01 _ A _ Test photométrique - Molybdate UV _ Quantitatif _ Automatisée _ 2 _ Cobas Pro Roche
</v>
      </c>
      <c r="F184" s="48" t="str">
        <f>'Examens accrédités et ajouts'!L197</f>
        <v>26256 v3</v>
      </c>
      <c r="G184" s="48" t="str">
        <f>'Examens accrédités et ajouts'!M197</f>
        <v>Changement automate:  mise en production le 25/9/24 et le 16/12/2024</v>
      </c>
    </row>
    <row r="185" spans="1:7" hidden="1" x14ac:dyDescent="0.2">
      <c r="A185" s="48" t="str">
        <f>'Examens accrédités et ajouts'!A198</f>
        <v>HOPITAL CHARLES NICOLLE CHU ROUEN</v>
      </c>
      <c r="B185" s="48" t="str">
        <f>'Examens accrédités et ajouts'!B198</f>
        <v>Biochimie Générale</v>
      </c>
      <c r="C185" s="48" t="str">
        <f>'Examens accrédités et ajouts'!E198</f>
        <v>Magnesium urinaire</v>
      </c>
      <c r="D185" s="48" t="str">
        <f>'Examens accrédités et ajouts'!F198</f>
        <v>Urine</v>
      </c>
      <c r="E185" s="182" t="str">
        <f>'Examens accrédités et ajouts'!Q198</f>
        <v xml:space="preserve">BM BB01 _ A _ Spectrophotométrique _ Quantitatif _ Automatisée _ 2 _ Cobas Pro Roche
</v>
      </c>
      <c r="F185" s="48" t="str">
        <f>'Examens accrédités et ajouts'!L198</f>
        <v>15040 v6</v>
      </c>
      <c r="G185" s="48" t="str">
        <f>'Examens accrédités et ajouts'!M198</f>
        <v>Changement automate:  mise en production le 25/9/24 et le 16/12/2024</v>
      </c>
    </row>
    <row r="186" spans="1:7" hidden="1" x14ac:dyDescent="0.2">
      <c r="A186" s="48" t="str">
        <f>'Examens accrédités et ajouts'!A199</f>
        <v>HOPITAL CHARLES NICOLLE CHU ROUEN</v>
      </c>
      <c r="B186" s="48" t="str">
        <f>'Examens accrédités et ajouts'!B199</f>
        <v>Biochimie Générale</v>
      </c>
      <c r="C186" s="48" t="str">
        <f>'Examens accrédités et ajouts'!E199</f>
        <v>LDH</v>
      </c>
      <c r="D186" s="48" t="str">
        <f>'Examens accrédités et ajouts'!F199</f>
        <v>Liquides divers</v>
      </c>
      <c r="E186" s="182" t="str">
        <f>'Examens accrédités et ajouts'!Q199</f>
        <v xml:space="preserve">BM BB01 _ B _ Colorimétrie enzymatique _ Quantitatif _ Automatisée _ 2 _ Cobas Pro Roche
</v>
      </c>
      <c r="F186" s="48" t="str">
        <f>'Examens accrédités et ajouts'!L199</f>
        <v>15037 v4</v>
      </c>
      <c r="G186" s="48" t="str">
        <f>'Examens accrédités et ajouts'!M199</f>
        <v>Changement automate:  mise en production le 25/9/24 et le 16/12/2024</v>
      </c>
    </row>
    <row r="187" spans="1:7" hidden="1" x14ac:dyDescent="0.2">
      <c r="A187" s="48" t="str">
        <f>'Examens accrédités et ajouts'!A200</f>
        <v>HOPITAL CHARLES NICOLLE CHU ROUEN</v>
      </c>
      <c r="B187" s="48" t="str">
        <f>'Examens accrédités et ajouts'!B200</f>
        <v>Biochimie Générale</v>
      </c>
      <c r="C187" s="48" t="str">
        <f>'Examens accrédités et ajouts'!E200</f>
        <v>Urée</v>
      </c>
      <c r="D187" s="48" t="str">
        <f>'Examens accrédités et ajouts'!F200</f>
        <v>Liquides divers</v>
      </c>
      <c r="E187" s="182" t="str">
        <f>'Examens accrédités et ajouts'!Q200</f>
        <v xml:space="preserve">BM BB01 _ B _ Enzymatique _ Quantitatif _ Automatisée _ 2 _ Cobas Pro Roche
</v>
      </c>
      <c r="F187" s="48" t="str">
        <f>'Examens accrédités et ajouts'!L200</f>
        <v>15075 v6</v>
      </c>
      <c r="G187" s="48" t="str">
        <f>'Examens accrédités et ajouts'!M200</f>
        <v>Changement automate:  mise en production le 25/9/24 et le 16/12/2024</v>
      </c>
    </row>
    <row r="188" spans="1:7" hidden="1" x14ac:dyDescent="0.2">
      <c r="A188" s="48" t="str">
        <f>'Examens accrédités et ajouts'!A201</f>
        <v>HOPITAL CHARLES NICOLLE CHU ROUEN</v>
      </c>
      <c r="B188" s="48" t="str">
        <f>'Examens accrédités et ajouts'!B201</f>
        <v>Biochimie Générale</v>
      </c>
      <c r="C188" s="48" t="str">
        <f>'Examens accrédités et ajouts'!E201</f>
        <v>Créatinine</v>
      </c>
      <c r="D188" s="48" t="str">
        <f>'Examens accrédités et ajouts'!F201</f>
        <v>Liquides divers</v>
      </c>
      <c r="E188" s="182" t="str">
        <f>'Examens accrédités et ajouts'!Q201</f>
        <v xml:space="preserve">BM BB01 _ B _ Enzymatique _ Quantitatif _ Automatisée _ 2 _ Cobas Pro Roche
</v>
      </c>
      <c r="F188" s="48" t="str">
        <f>'Examens accrédités et ajouts'!L201</f>
        <v>24671 v3</v>
      </c>
      <c r="G188" s="48" t="str">
        <f>'Examens accrédités et ajouts'!M201</f>
        <v>Changement automate:  mise en production le 25/9/24 et le 16/12/2024</v>
      </c>
    </row>
    <row r="189" spans="1:7" hidden="1" x14ac:dyDescent="0.2">
      <c r="A189" s="48" t="str">
        <f>'Examens accrédités et ajouts'!A202</f>
        <v>HOPITAL CHARLES NICOLLE CHU ROUEN</v>
      </c>
      <c r="B189" s="48" t="str">
        <f>'Examens accrédités et ajouts'!B202</f>
        <v>Biochimie Générale</v>
      </c>
      <c r="C189" s="48" t="str">
        <f>'Examens accrédités et ajouts'!E202</f>
        <v>Glucose</v>
      </c>
      <c r="D189" s="48" t="str">
        <f>'Examens accrédités et ajouts'!F202</f>
        <v>Liquides divers</v>
      </c>
      <c r="E189" s="182" t="str">
        <f>'Examens accrédités et ajouts'!Q202</f>
        <v xml:space="preserve">BM BB01 _ B _ Enzymatique _ Quantitatif _ Automatisée _ 2 _ Cobas Pro Roche
</v>
      </c>
      <c r="F189" s="48" t="str">
        <f>'Examens accrédités et ajouts'!L202</f>
        <v>26931 v3</v>
      </c>
      <c r="G189" s="48" t="str">
        <f>'Examens accrédités et ajouts'!M202</f>
        <v>Changement automate:  mise en production le 25/9/24 et le 16/12/2024</v>
      </c>
    </row>
    <row r="190" spans="1:7" hidden="1" x14ac:dyDescent="0.2">
      <c r="A190" s="48" t="str">
        <f>'Examens accrédités et ajouts'!A203</f>
        <v>HOPITAL CHARLES NICOLLE CHU ROUEN</v>
      </c>
      <c r="B190" s="48" t="str">
        <f>'Examens accrédités et ajouts'!B203</f>
        <v>Biochimie Générale</v>
      </c>
      <c r="C190" s="48" t="str">
        <f>'Examens accrédités et ajouts'!E203</f>
        <v>Cholesterol</v>
      </c>
      <c r="D190" s="48" t="str">
        <f>'Examens accrédités et ajouts'!F203</f>
        <v>Liquides divers</v>
      </c>
      <c r="E190" s="182" t="str">
        <f>'Examens accrédités et ajouts'!Q203</f>
        <v xml:space="preserve">BM BB01 _ B _ Enzymatique _ Quantitatif _ Automatisée _ 2 _ Cobas Pro Roche
</v>
      </c>
      <c r="F190" s="48" t="str">
        <f>'Examens accrédités et ajouts'!L203</f>
        <v>23479 v3</v>
      </c>
      <c r="G190" s="48" t="str">
        <f>'Examens accrédités et ajouts'!M203</f>
        <v xml:space="preserve">Changement automate:  mise en production le 25/9/24 </v>
      </c>
    </row>
    <row r="191" spans="1:7" hidden="1" x14ac:dyDescent="0.2">
      <c r="A191" s="48" t="str">
        <f>'Examens accrédités et ajouts'!A204</f>
        <v>HOPITAL CHARLES NICOLLE CHU ROUEN</v>
      </c>
      <c r="B191" s="48" t="str">
        <f>'Examens accrédités et ajouts'!B204</f>
        <v>Biochimie Générale</v>
      </c>
      <c r="C191" s="48" t="str">
        <f>'Examens accrédités et ajouts'!E204</f>
        <v>Triglycérides</v>
      </c>
      <c r="D191" s="48" t="str">
        <f>'Examens accrédités et ajouts'!F204</f>
        <v>Liquides divers</v>
      </c>
      <c r="E191" s="182" t="str">
        <f>'Examens accrédités et ajouts'!Q204</f>
        <v xml:space="preserve">BM BB01 _ B _ Colorimétrie enzymatique _ Quantitatif _ Automatisée _ 1 _ Cobas Pro Roche
</v>
      </c>
      <c r="F191" s="48" t="str">
        <f>'Examens accrédités et ajouts'!L204</f>
        <v>22877 v2</v>
      </c>
      <c r="G191" s="48" t="str">
        <f>'Examens accrédités et ajouts'!M204</f>
        <v xml:space="preserve">Changement automate:  mise en production le 25/9/24 </v>
      </c>
    </row>
    <row r="192" spans="1:7" hidden="1" x14ac:dyDescent="0.2">
      <c r="A192" s="48" t="str">
        <f>'Examens accrédités et ajouts'!A205</f>
        <v>HOPITAL CHARLES NICOLLE CHU ROUEN</v>
      </c>
      <c r="B192" s="48" t="str">
        <f>'Examens accrédités et ajouts'!B205</f>
        <v>Biochimie Générale</v>
      </c>
      <c r="C192" s="48" t="str">
        <f>'Examens accrédités et ajouts'!E205</f>
        <v>Amylase</v>
      </c>
      <c r="D192" s="48" t="str">
        <f>'Examens accrédités et ajouts'!F205</f>
        <v>Liquides divers</v>
      </c>
      <c r="E192" s="182" t="str">
        <f>'Examens accrédités et ajouts'!Q205</f>
        <v>BM BB01 _ B _ Colorimétrique _ Quantitatif _ Automatisée _ 1 _ Cobas pro Roche</v>
      </c>
      <c r="F192" s="48" t="str">
        <f>'Examens accrédités et ajouts'!L205</f>
        <v>31011 v1</v>
      </c>
      <c r="G192" s="48" t="str">
        <f>'Examens accrédités et ajouts'!M205</f>
        <v xml:space="preserve">Changement automate:  mise en production le 25/9/24 </v>
      </c>
    </row>
    <row r="193" spans="1:7" hidden="1" x14ac:dyDescent="0.2">
      <c r="A193" s="48" t="str">
        <f>'Examens accrédités et ajouts'!A206</f>
        <v>HOPITAL CHARLES NICOLLE CHU ROUEN</v>
      </c>
      <c r="B193" s="48" t="str">
        <f>'Examens accrédités et ajouts'!B206</f>
        <v>Biochimie Générale</v>
      </c>
      <c r="C193" s="48" t="str">
        <f>'Examens accrédités et ajouts'!E206</f>
        <v xml:space="preserve">Protides </v>
      </c>
      <c r="D193" s="48" t="str">
        <f>'Examens accrédités et ajouts'!F206</f>
        <v>Liquides divers</v>
      </c>
      <c r="E193" s="182" t="str">
        <f>'Examens accrédités et ajouts'!Q206</f>
        <v xml:space="preserve">BM BB01 _ B _ Colorimétrie   _ Quantitatif _ Automatisée _ 2 _ Cobas Pro Roche
</v>
      </c>
      <c r="F193" s="48" t="str">
        <f>'Examens accrédités et ajouts'!L206</f>
        <v>15030 v7</v>
      </c>
      <c r="G193" s="48" t="str">
        <f>'Examens accrédités et ajouts'!M206</f>
        <v>Changement automate:  mise en production le 25/9/24 et le 16/12/2024</v>
      </c>
    </row>
    <row r="194" spans="1:7" hidden="1" x14ac:dyDescent="0.2">
      <c r="A194" s="48" t="str">
        <f>'Examens accrédités et ajouts'!A207</f>
        <v>HOPITAL CHARLES NICOLLE CHU ROUEN</v>
      </c>
      <c r="B194" s="48" t="str">
        <f>'Examens accrédités et ajouts'!B207</f>
        <v>Biochimie Générale</v>
      </c>
      <c r="C194" s="48" t="str">
        <f>'Examens accrédités et ajouts'!E207</f>
        <v>Potassium</v>
      </c>
      <c r="D194" s="48" t="str">
        <f>'Examens accrédités et ajouts'!F207</f>
        <v>Liquides divers</v>
      </c>
      <c r="E194" s="182" t="str">
        <f>'Examens accrédités et ajouts'!Q207</f>
        <v xml:space="preserve">BM BB01 _ B _ Potentiométrie indirecte _ Quantitatif _ Automatisée _ 2 _ Cobas Pro Roche
</v>
      </c>
      <c r="F194" s="48" t="str">
        <f>'Examens accrédités et ajouts'!L207</f>
        <v>10674 v6</v>
      </c>
      <c r="G194" s="48" t="str">
        <f>'Examens accrédités et ajouts'!M207</f>
        <v>Changement automate:  mise en production le 25/9/24 et le 16/12/2024</v>
      </c>
    </row>
    <row r="195" spans="1:7" hidden="1" x14ac:dyDescent="0.2">
      <c r="A195" s="48" t="str">
        <f>'Examens accrédités et ajouts'!A208</f>
        <v>HOPITAL CHARLES NICOLLE CHU ROUEN</v>
      </c>
      <c r="B195" s="48" t="str">
        <f>'Examens accrédités et ajouts'!B208</f>
        <v>Biochimie Générale</v>
      </c>
      <c r="C195" s="48" t="str">
        <f>'Examens accrédités et ajouts'!E208</f>
        <v>Sodium</v>
      </c>
      <c r="D195" s="48" t="str">
        <f>'Examens accrédités et ajouts'!F208</f>
        <v>Liquides divers</v>
      </c>
      <c r="E195" s="182" t="str">
        <f>'Examens accrédités et ajouts'!Q208</f>
        <v xml:space="preserve">BM BB01 _ B _ Potentiométrie indirecte _ Quantitatif _ Automatisée _ 2 _ Cobas Pro Roche
</v>
      </c>
      <c r="F195" s="48" t="str">
        <f>'Examens accrédités et ajouts'!L208</f>
        <v>15067 v6</v>
      </c>
      <c r="G195" s="48" t="str">
        <f>'Examens accrédités et ajouts'!M208</f>
        <v>Changement automate:  mise en production le 25/9/24 et le 16/12/2024</v>
      </c>
    </row>
    <row r="196" spans="1:7" hidden="1" x14ac:dyDescent="0.2">
      <c r="A196" s="48" t="str">
        <f>'Examens accrédités et ajouts'!A209</f>
        <v>HOPITAL CHARLES NICOLLE CHU ROUEN</v>
      </c>
      <c r="B196" s="48" t="str">
        <f>'Examens accrédités et ajouts'!B209</f>
        <v>Biochimie Générale</v>
      </c>
      <c r="C196" s="48" t="str">
        <f>'Examens accrédités et ajouts'!E209</f>
        <v>Bilirubine</v>
      </c>
      <c r="D196" s="48" t="str">
        <f>'Examens accrédités et ajouts'!F209</f>
        <v>Liquides divers</v>
      </c>
      <c r="E196" s="182" t="str">
        <f>'Examens accrédités et ajouts'!Q209</f>
        <v xml:space="preserve">BM BB01 _ B _ Colorimétrique _ Quantitatif _ Automatisée _ 2 _ Cobas Pro Roche
</v>
      </c>
      <c r="F196" s="48" t="str">
        <f>'Examens accrédités et ajouts'!L209</f>
        <v>22584 v4</v>
      </c>
      <c r="G196" s="48" t="str">
        <f>'Examens accrédités et ajouts'!M209</f>
        <v>Changement automate:  mise en production le 25/9/24 et le 16/12/2024</v>
      </c>
    </row>
    <row r="197" spans="1:7" hidden="1" x14ac:dyDescent="0.2">
      <c r="A197" s="48" t="str">
        <f>'Examens accrédités et ajouts'!A210</f>
        <v>HOPITAL CHARLES NICOLLE CHU ROUEN</v>
      </c>
      <c r="B197" s="48" t="str">
        <f>'Examens accrédités et ajouts'!B210</f>
        <v>Biochimie Générale</v>
      </c>
      <c r="C197" s="48" t="str">
        <f>'Examens accrédités et ajouts'!E210</f>
        <v>Phosphore</v>
      </c>
      <c r="D197" s="48" t="str">
        <f>'Examens accrédités et ajouts'!F210</f>
        <v>Liquides divers</v>
      </c>
      <c r="E197" s="182" t="str">
        <f>'Examens accrédités et ajouts'!Q210</f>
        <v xml:space="preserve">BM BB01 _ B _ Test photométrique  _ Quantitatif _ Automatisée _ 2 _ Cobas Pro Roche
</v>
      </c>
      <c r="F197" s="48" t="str">
        <f>'Examens accrédités et ajouts'!L210</f>
        <v>26256 v3</v>
      </c>
      <c r="G197" s="48" t="str">
        <f>'Examens accrédités et ajouts'!M210</f>
        <v>Changement automate:  mise en production le 25/9/24 et le 16/12/2024</v>
      </c>
    </row>
    <row r="198" spans="1:7" hidden="1" x14ac:dyDescent="0.2">
      <c r="A198" s="48" t="str">
        <f>'Examens accrédités et ajouts'!A211</f>
        <v>HOPITAL CHARLES NICOLLE CHU ROUEN</v>
      </c>
      <c r="B198" s="48" t="str">
        <f>'Examens accrédités et ajouts'!B211</f>
        <v>Biochimie Générale</v>
      </c>
      <c r="C198" s="48" t="str">
        <f>'Examens accrédités et ajouts'!E211</f>
        <v>Lipase</v>
      </c>
      <c r="D198" s="48" t="str">
        <f>'Examens accrédités et ajouts'!F211</f>
        <v>Liquides divers</v>
      </c>
      <c r="E198" s="182" t="str">
        <f>'Examens accrédités et ajouts'!Q211</f>
        <v xml:space="preserve">BM BB01 _ B _ Colorimétrique enzymatique _ Quantitatif _ Automatisée _ 2 _ Cobas Pro Roche
</v>
      </c>
      <c r="F198" s="48" t="str">
        <f>'Examens accrédités et ajouts'!L211</f>
        <v>15039 v8</v>
      </c>
      <c r="G198" s="48" t="str">
        <f>'Examens accrédités et ajouts'!M211</f>
        <v>Changement automate:  mise en production le 25/9/24 et le 16/12/2024</v>
      </c>
    </row>
    <row r="199" spans="1:7" hidden="1" x14ac:dyDescent="0.2">
      <c r="A199" s="48" t="str">
        <f>'Examens accrédités et ajouts'!A212</f>
        <v>HOPITAL CHARLES NICOLLE CHU ROUEN</v>
      </c>
      <c r="B199" s="48" t="str">
        <f>'Examens accrédités et ajouts'!B212</f>
        <v>Biochimie Générale</v>
      </c>
      <c r="C199" s="48" t="str">
        <f>'Examens accrédités et ajouts'!E212</f>
        <v>HCG urinaire</v>
      </c>
      <c r="D199" s="48" t="str">
        <f>'Examens accrédités et ajouts'!F212</f>
        <v>Urine</v>
      </c>
      <c r="E199" s="182" t="str">
        <f>'Examens accrédités et ajouts'!Q212</f>
        <v xml:space="preserve">BM BB01 _ B _ Chimiluminescence _ Quantitatif _ Automatisée _ 2 _ Cobas pro Roche
</v>
      </c>
      <c r="F199" s="48" t="str">
        <f>'Examens accrédités et ajouts'!L212</f>
        <v>23940 v6</v>
      </c>
      <c r="G199" s="48" t="str">
        <f>'Examens accrédités et ajouts'!M212</f>
        <v xml:space="preserve">Changement automate:  mise en production le 25/9/24 </v>
      </c>
    </row>
    <row r="200" spans="1:7" hidden="1" x14ac:dyDescent="0.2">
      <c r="A200" s="48" t="str">
        <f>'Examens accrédités et ajouts'!A213</f>
        <v>HOPITAL CHARLES NICOLLE CHU ROUEN</v>
      </c>
      <c r="B200" s="48" t="str">
        <f>'Examens accrédités et ajouts'!B213</f>
        <v>Biochimie Générale</v>
      </c>
      <c r="C200" s="48" t="str">
        <f>'Examens accrédités et ajouts'!E213</f>
        <v>HVA urinaire</v>
      </c>
      <c r="D200" s="48" t="str">
        <f>'Examens accrédités et ajouts'!F213</f>
        <v>Urine</v>
      </c>
      <c r="E200" s="182" t="str">
        <f>'Examens accrédités et ajouts'!Q213</f>
        <v xml:space="preserve">BM BB02 _ A _ Chromatographie Liquide Haute Performance avec détection électrochimique  _ Quantitatif _ Semi-automatisée _ 1 _ HPLC Ultimate 3000 ThermoScientific </v>
      </c>
      <c r="F200" s="48" t="str">
        <f>'Examens accrédités et ajouts'!L213</f>
        <v>26733 v2</v>
      </c>
      <c r="G200" s="48" t="str">
        <f>'Examens accrédités et ajouts'!M213</f>
        <v>changement de méthode depuis 20/08/25</v>
      </c>
    </row>
    <row r="201" spans="1:7" hidden="1" x14ac:dyDescent="0.2">
      <c r="A201" s="48" t="str">
        <f>'Examens accrédités et ajouts'!A214</f>
        <v>HOPITAL CHARLES NICOLLE CHU ROUEN</v>
      </c>
      <c r="B201" s="48" t="str">
        <f>'Examens accrédités et ajouts'!B214</f>
        <v>Biochimie Générale</v>
      </c>
      <c r="C201" s="48" t="str">
        <f>'Examens accrédités et ajouts'!E214</f>
        <v>VMA urinaire</v>
      </c>
      <c r="D201" s="48" t="str">
        <f>'Examens accrédités et ajouts'!F214</f>
        <v>Urine</v>
      </c>
      <c r="E201" s="182" t="str">
        <f>'Examens accrédités et ajouts'!Q214</f>
        <v xml:space="preserve">BM BB02 _ A _ Chromatographie Liquide Haute Performance avec détection électrochimique  _ Quantitatif _ Semi-automatisée _ 1 _ HPLC Ultimate 3000 ThermoScientific </v>
      </c>
      <c r="F201" s="48" t="str">
        <f>'Examens accrédités et ajouts'!L214</f>
        <v>26733 v2</v>
      </c>
      <c r="G201" s="48" t="str">
        <f>'Examens accrédités et ajouts'!M214</f>
        <v>changement de méthode depuis 20/08/25</v>
      </c>
    </row>
    <row r="202" spans="1:7" hidden="1" x14ac:dyDescent="0.2">
      <c r="A202" s="48" t="str">
        <f>'Examens accrédités et ajouts'!A215</f>
        <v>HOPITAL CHARLES NICOLLE CHU ROUEN</v>
      </c>
      <c r="B202" s="48" t="str">
        <f>'Examens accrédités et ajouts'!B215</f>
        <v>Biochimie Générale</v>
      </c>
      <c r="C202" s="48" t="str">
        <f>'Examens accrédités et ajouts'!E215</f>
        <v>5 HIAA urinaire</v>
      </c>
      <c r="D202" s="48" t="str">
        <f>'Examens accrédités et ajouts'!F215</f>
        <v>Urine</v>
      </c>
      <c r="E202" s="182" t="str">
        <f>'Examens accrédités et ajouts'!Q215</f>
        <v xml:space="preserve">BM BB02 _ A _ Chromatographie Liquide Haute Performance avec détection électrochimique  _ Quantitatif _ Semi-automatisée _ 1 _ HPLC Ultimate 3000 ThermoScientific </v>
      </c>
      <c r="F202" s="48" t="str">
        <f>'Examens accrédités et ajouts'!L215</f>
        <v>26733 v2</v>
      </c>
      <c r="G202" s="48" t="str">
        <f>'Examens accrédités et ajouts'!M215</f>
        <v>changement de méthode depuis 20/08/25</v>
      </c>
    </row>
    <row r="203" spans="1:7" hidden="1" x14ac:dyDescent="0.2">
      <c r="A203" s="48" t="str">
        <f>'Examens accrédités et ajouts'!A216</f>
        <v>HOPITAL CHARLES NICOLLE CHU ROUEN</v>
      </c>
      <c r="B203" s="48" t="str">
        <f>'Examens accrédités et ajouts'!B216</f>
        <v>Biochimie Générale</v>
      </c>
      <c r="C203" s="48" t="str">
        <f>'Examens accrédités et ajouts'!E216</f>
        <v>Vitamine A</v>
      </c>
      <c r="D203" s="48" t="str">
        <f>'Examens accrédités et ajouts'!F216</f>
        <v>Sang</v>
      </c>
      <c r="E203" s="182" t="str">
        <f>'Examens accrédités et ajouts'!Q216</f>
        <v xml:space="preserve">BM BB02 _ B _ Chromatographie Liquide Haute Performance _ Quantitatif _ Automatisée _ 1 _ HPLC Ultimate 3000 ThermoScientific </v>
      </c>
      <c r="F203" s="48" t="str">
        <f>'Examens accrédités et ajouts'!L216</f>
        <v>33944 v2</v>
      </c>
      <c r="G203" s="48">
        <f>'Examens accrédités et ajouts'!M216</f>
        <v>0</v>
      </c>
    </row>
    <row r="204" spans="1:7" hidden="1" x14ac:dyDescent="0.2">
      <c r="A204" s="48" t="str">
        <f>'Examens accrédités et ajouts'!A217</f>
        <v>HOPITAL CHARLES NICOLLE CHU ROUEN</v>
      </c>
      <c r="B204" s="48" t="str">
        <f>'Examens accrédités et ajouts'!B217</f>
        <v>Biochimie Générale</v>
      </c>
      <c r="C204" s="48" t="str">
        <f>'Examens accrédités et ajouts'!E217</f>
        <v>Vitamine E</v>
      </c>
      <c r="D204" s="48" t="str">
        <f>'Examens accrédités et ajouts'!F217</f>
        <v>Sang</v>
      </c>
      <c r="E204" s="182" t="str">
        <f>'Examens accrédités et ajouts'!Q217</f>
        <v xml:space="preserve">BM BB02 _ B _ Chromatographie Liquide Haute Performance _ Quantitatif _ Automatisée _ 1 _ HPLC Ultimate 3000 ThermoScientific </v>
      </c>
      <c r="F204" s="48" t="str">
        <f>'Examens accrédités et ajouts'!L217</f>
        <v>33944 v2</v>
      </c>
      <c r="G204" s="48">
        <f>'Examens accrédités et ajouts'!M217</f>
        <v>0</v>
      </c>
    </row>
    <row r="205" spans="1:7" hidden="1" x14ac:dyDescent="0.2">
      <c r="A205" s="48" t="str">
        <f>'Examens accrédités et ajouts'!A218</f>
        <v>HOPITAL CHARLES NICOLLE CHU ROUEN</v>
      </c>
      <c r="B205" s="48" t="str">
        <f>'Examens accrédités et ajouts'!B218</f>
        <v>Biochimie Générale</v>
      </c>
      <c r="C205" s="48" t="str">
        <f>'Examens accrédités et ajouts'!E218</f>
        <v>Electrophorèse des protéines urinaires</v>
      </c>
      <c r="D205" s="48" t="str">
        <f>'Examens accrédités et ajouts'!F218</f>
        <v>Urine</v>
      </c>
      <c r="E205" s="182" t="str">
        <f>'Examens accrédités et ajouts'!Q218</f>
        <v>BM BB04 _ A _ Electrophorèse _ Qualitatif _ Semi-automatisée _ 1 _ Hydrasys 2 scan sebia 1762</v>
      </c>
      <c r="F205" s="48" t="str">
        <f>'Examens accrédités et ajouts'!L218</f>
        <v>29805 v2</v>
      </c>
      <c r="G205" s="48" t="str">
        <f>'Examens accrédités et ajouts'!M218</f>
        <v xml:space="preserve">
Utilisation du dosage des protides urinaires voir BM BB01</v>
      </c>
    </row>
    <row r="206" spans="1:7" hidden="1" x14ac:dyDescent="0.2">
      <c r="A206" s="48" t="str">
        <f>'Examens accrédités et ajouts'!A219</f>
        <v>HOPITAL CHARLES NICOLLE CHU ROUEN</v>
      </c>
      <c r="B206" s="48" t="str">
        <f>'Examens accrédités et ajouts'!B219</f>
        <v>Biochimie Générale</v>
      </c>
      <c r="C206" s="48" t="str">
        <f>'Examens accrédités et ajouts'!E219</f>
        <v>Electrophorèse des protéines sériques</v>
      </c>
      <c r="D206" s="48" t="str">
        <f>'Examens accrédités et ajouts'!F219</f>
        <v>Sang</v>
      </c>
      <c r="E206" s="182" t="str">
        <f>'Examens accrédités et ajouts'!Q219</f>
        <v>BM BB04 _ A _ Electrophorèse _ Qualitatif _ Semi-automatisée _ 1 _ SEBIA, Capillarys3 Octa</v>
      </c>
      <c r="F206" s="48" t="str">
        <f>'Examens accrédités et ajouts'!L219</f>
        <v>27119 v5</v>
      </c>
      <c r="G206" s="48" t="str">
        <f>'Examens accrédités et ajouts'!M219</f>
        <v xml:space="preserve">
Utilisation du dosage des protides sanguins voir BM BB01</v>
      </c>
    </row>
    <row r="207" spans="1:7" hidden="1" x14ac:dyDescent="0.2">
      <c r="A207" s="48" t="str">
        <f>'Examens accrédités et ajouts'!A220</f>
        <v>HOPITAL CHARLES NICOLLE CHU ROUEN</v>
      </c>
      <c r="B207" s="48" t="str">
        <f>'Examens accrédités et ajouts'!B220</f>
        <v>Biochimie Générale</v>
      </c>
      <c r="C207" s="48" t="str">
        <f>'Examens accrédités et ajouts'!E220</f>
        <v>Hémoglobine glyquée</v>
      </c>
      <c r="D207" s="48" t="str">
        <f>'Examens accrédités et ajouts'!F220</f>
        <v>Sang</v>
      </c>
      <c r="E207" s="182" t="str">
        <f>'Examens accrédités et ajouts'!Q220</f>
        <v>BM BB04 _ A _ Electrophorèse _ Quantitatif _ Automatisée _ 1 _ SEBIA, Capillarys3 Octa</v>
      </c>
      <c r="F207" s="48" t="str">
        <f>'Examens accrédités et ajouts'!L220</f>
        <v>32342 v1</v>
      </c>
      <c r="G207" s="48">
        <f>'Examens accrédités et ajouts'!M220</f>
        <v>0</v>
      </c>
    </row>
    <row r="208" spans="1:7" hidden="1" x14ac:dyDescent="0.2">
      <c r="A208" s="48" t="str">
        <f>'Examens accrédités et ajouts'!A221</f>
        <v>HOPITAL CHARLES NICOLLE CHU ROUEN</v>
      </c>
      <c r="B208" s="48" t="str">
        <f>'Examens accrédités et ajouts'!B221</f>
        <v>Biochimie Générale</v>
      </c>
      <c r="C208" s="48" t="str">
        <f>'Examens accrédités et ajouts'!E221</f>
        <v>Immunofixation des protéines sériques</v>
      </c>
      <c r="D208" s="48" t="str">
        <f>'Examens accrédités et ajouts'!F221</f>
        <v>Sang</v>
      </c>
      <c r="E208" s="182" t="str">
        <f>'Examens accrédités et ajouts'!Q221</f>
        <v>BM BB04 _ A _ Immunofixaton _ Qualitatif _ Semi-automatisée _ 2 _ hydrasys SEBIA</v>
      </c>
      <c r="F208" s="48" t="str">
        <f>'Examens accrédités et ajouts'!L221</f>
        <v>27910 v2</v>
      </c>
      <c r="G208" s="48">
        <f>'Examens accrédités et ajouts'!M221</f>
        <v>0</v>
      </c>
    </row>
    <row r="209" spans="1:7" hidden="1" x14ac:dyDescent="0.2">
      <c r="A209" s="48" t="str">
        <f>'Examens accrédités et ajouts'!A222</f>
        <v>HOPITAL CHARLES NICOLLE CHU ROUEN</v>
      </c>
      <c r="B209" s="48" t="str">
        <f>'Examens accrédités et ajouts'!B222</f>
        <v>Biochimie Générale</v>
      </c>
      <c r="C209" s="48" t="str">
        <f>'Examens accrédités et ajouts'!E222</f>
        <v>Immunofixation des protéines urinaires</v>
      </c>
      <c r="D209" s="48" t="str">
        <f>'Examens accrédités et ajouts'!F222</f>
        <v>Urine</v>
      </c>
      <c r="E209" s="182" t="str">
        <f>'Examens accrédités et ajouts'!Q222</f>
        <v>BM BB04 _ A _ Immunofixaton _ Qualitatif _ Semi-automatisée _ 1 _ hydrasys SEBIA</v>
      </c>
      <c r="F209" s="48" t="str">
        <f>'Examens accrédités et ajouts'!L222</f>
        <v>27910 v2</v>
      </c>
      <c r="G209" s="48">
        <f>'Examens accrédités et ajouts'!M222</f>
        <v>0</v>
      </c>
    </row>
    <row r="210" spans="1:7" hidden="1" x14ac:dyDescent="0.2">
      <c r="A210" s="48" t="str">
        <f>'Examens accrédités et ajouts'!A223</f>
        <v>HOPITAL CHARLES NICOLLE CHU ROUEN</v>
      </c>
      <c r="B210" s="48" t="str">
        <f>'Examens accrédités et ajouts'!B223</f>
        <v>Biochimie Générale</v>
      </c>
      <c r="C210" s="48" t="str">
        <f>'Examens accrédités et ajouts'!E223</f>
        <v>Recherche et identification d'une cryoglobuline</v>
      </c>
      <c r="D210" s="48" t="str">
        <f>'Examens accrédités et ajouts'!F223</f>
        <v>Sang</v>
      </c>
      <c r="E210" s="182" t="str">
        <f>'Examens accrédités et ajouts'!Q223</f>
        <v>BM BB04 _ B _ Cryoprécipitation + Immunofixaton _ Qualitatif _ Semi-automatisée _ 1 _ hydrasys SEBIA</v>
      </c>
      <c r="F210" s="48" t="str">
        <f>'Examens accrédités et ajouts'!L223</f>
        <v>35822 v1</v>
      </c>
      <c r="G210" s="48" t="str">
        <f>'Examens accrédités et ajouts'!M223</f>
        <v>extension 2019 auditée en mai 2024
Utilisation du dosage des protides liquides divers voir BM BB01</v>
      </c>
    </row>
    <row r="211" spans="1:7" hidden="1" x14ac:dyDescent="0.2">
      <c r="A211" s="48" t="str">
        <f>'Examens accrédités et ajouts'!A224</f>
        <v>HOPITAL CHARLES NICOLLE CHU ROUEN</v>
      </c>
      <c r="B211" s="48" t="str">
        <f>'Examens accrédités et ajouts'!B224</f>
        <v>Biochimie Générale</v>
      </c>
      <c r="C211" s="48" t="str">
        <f>'Examens accrédités et ajouts'!E224</f>
        <v>Lithiase urinaire</v>
      </c>
      <c r="D211" s="48" t="str">
        <f>'Examens accrédités et ajouts'!F224</f>
        <v>Urine</v>
      </c>
      <c r="E211" s="182" t="str">
        <f>'Examens accrédités et ajouts'!Q224</f>
        <v>BM BB07 _ B _ Examen macroscopique et microscopique / Spectroscopie proche infra-rouge _ qualitatif _  Manuelle/automatisé _ 1 _ TENSOR ALPHA</v>
      </c>
      <c r="F211" s="48" t="str">
        <f>'Examens accrédités et ajouts'!L224</f>
        <v>31750 v3</v>
      </c>
      <c r="G211" s="48">
        <f>'Examens accrédités et ajouts'!M224</f>
        <v>0</v>
      </c>
    </row>
    <row r="212" spans="1:7" hidden="1" x14ac:dyDescent="0.2">
      <c r="A212" s="48" t="str">
        <f>'Examens accrédités et ajouts'!A225</f>
        <v>HOPITAL CHARLES NICOLLE CHU ROUEN</v>
      </c>
      <c r="B212" s="48" t="str">
        <f>'Examens accrédités et ajouts'!B225</f>
        <v>Biochimie Générale</v>
      </c>
      <c r="C212" s="48" t="str">
        <f>'Examens accrédités et ajouts'!E225</f>
        <v>Cuivre sérique</v>
      </c>
      <c r="D212" s="48" t="str">
        <f>'Examens accrédités et ajouts'!F225</f>
        <v>Sang</v>
      </c>
      <c r="E212" s="182" t="str">
        <f>'Examens accrédités et ajouts'!Q225</f>
        <v>BM BB09 _ B _ Spectrométrie d'absorption atomique (SAA) _ Quantitatif _ Automatisée _ 1 _ Pinnacle 900T - Perkin Elmer</v>
      </c>
      <c r="F212" s="48" t="str">
        <f>'Examens accrédités et ajouts'!L225</f>
        <v>25657 v5</v>
      </c>
      <c r="G212" s="48" t="str">
        <f>'Examens accrédités et ajouts'!M225</f>
        <v>Analyse réalisée en biochimie générale sur un automate de biochimie générale</v>
      </c>
    </row>
    <row r="213" spans="1:7" hidden="1" x14ac:dyDescent="0.2">
      <c r="A213" s="48" t="str">
        <f>'Examens accrédités et ajouts'!A226</f>
        <v>HOPITAL CHARLES NICOLLE CHU ROUEN</v>
      </c>
      <c r="B213" s="48" t="str">
        <f>'Examens accrédités et ajouts'!B226</f>
        <v>Biochimie Générale</v>
      </c>
      <c r="C213" s="48" t="str">
        <f>'Examens accrédités et ajouts'!E226</f>
        <v>Zinc sérique</v>
      </c>
      <c r="D213" s="48" t="str">
        <f>'Examens accrédités et ajouts'!F226</f>
        <v>Sang</v>
      </c>
      <c r="E213" s="182" t="str">
        <f>'Examens accrédités et ajouts'!Q226</f>
        <v>BM BB09 _ B _ Spectrométrie d'absorption atomique (SAA) _ Quantitatif _ Automatisée _ 1 _ Pinnacle 900T - Perkin Elmer</v>
      </c>
      <c r="F213" s="48" t="str">
        <f>'Examens accrédités et ajouts'!L226</f>
        <v>25658 v6</v>
      </c>
      <c r="G213" s="48" t="str">
        <f>'Examens accrédités et ajouts'!M226</f>
        <v>Analyse réalisée en biochimie générale sur un automate de biochimie générale</v>
      </c>
    </row>
    <row r="214" spans="1:7" hidden="1" x14ac:dyDescent="0.2">
      <c r="A214" s="48" t="str">
        <f>'Examens accrédités et ajouts'!A227</f>
        <v>HOPITAL CHARLES NICOLLE CHU ROUEN</v>
      </c>
      <c r="B214" s="48" t="str">
        <f>'Examens accrédités et ajouts'!B227</f>
        <v>Biochimie Générale</v>
      </c>
      <c r="C214" s="48" t="str">
        <f>'Examens accrédités et ajouts'!E227</f>
        <v>Sélénium sérique</v>
      </c>
      <c r="D214" s="48" t="str">
        <f>'Examens accrédités et ajouts'!F227</f>
        <v>Sang</v>
      </c>
      <c r="E214" s="182" t="str">
        <f>'Examens accrédités et ajouts'!Q227</f>
        <v>BM BB09 _ B _ Spectrométrie d'absorption atomique (SAA) _ Quantitatif _ Automatisée _ 1 _ Pinnacle 900T - Perkin Elmer</v>
      </c>
      <c r="F214" s="48" t="str">
        <f>'Examens accrédités et ajouts'!L227</f>
        <v>22265 v5</v>
      </c>
      <c r="G214" s="48" t="str">
        <f>'Examens accrédités et ajouts'!M227</f>
        <v>Analyse réalisée en biochimie générale sur un automate de biochimie générale</v>
      </c>
    </row>
    <row r="215" spans="1:7" hidden="1" x14ac:dyDescent="0.2">
      <c r="A215" s="48" t="str">
        <f>'Examens accrédités et ajouts'!A228</f>
        <v>HOPITAL CHARLES NICOLLE CHU ROUEN</v>
      </c>
      <c r="B215" s="48" t="str">
        <f>'Examens accrédités et ajouts'!B228</f>
        <v>Biochimie Générale</v>
      </c>
      <c r="C215" s="48" t="str">
        <f>'Examens accrédités et ajouts'!E228</f>
        <v>Plombémie</v>
      </c>
      <c r="D215" s="48" t="str">
        <f>'Examens accrédités et ajouts'!F228</f>
        <v>Sang</v>
      </c>
      <c r="E215" s="182" t="str">
        <f>'Examens accrédités et ajouts'!Q228</f>
        <v>LT PB01 _ B _ Spectrométrie d'absorption atomique _ Quantitatif _ Automatisée _ 1 _ Pinnacle 900 T - Perkin Elmer</v>
      </c>
      <c r="F215" s="48" t="str">
        <f>'Examens accrédités et ajouts'!L228</f>
        <v>8616 v8</v>
      </c>
      <c r="G215" s="48">
        <f>'Examens accrédités et ajouts'!M228</f>
        <v>0</v>
      </c>
    </row>
    <row r="216" spans="1:7" x14ac:dyDescent="0.2">
      <c r="A216" s="48" t="str">
        <f>'Examens accrédités et ajouts'!A229</f>
        <v>HOPITAL CHARLES NICOLLE CHU ROUEN</v>
      </c>
      <c r="B216" s="48" t="str">
        <f>'Examens accrédités et ajouts'!B229</f>
        <v>Biochimie Métabolique</v>
      </c>
      <c r="C216" s="48" t="str">
        <f>'Examens accrédités et ajouts'!E229</f>
        <v>Créatine</v>
      </c>
      <c r="D216" s="48" t="str">
        <f>'Examens accrédités et ajouts'!F229</f>
        <v>Urine</v>
      </c>
      <c r="E216" s="182" t="str">
        <f>'Examens accrédités et ajouts'!Q229</f>
        <v>BM BB02 _ B _ Extraction de la créatine de l'urine et analyse par spectrometrie de masse en tandem. _ Quantitatif _ Semi-automatisée _ 1 _ Spectromètre de masse en tandem couplé à une HPLC</v>
      </c>
      <c r="F216" s="48" t="str">
        <f>'Examens accrédités et ajouts'!L229</f>
        <v>15078 v002</v>
      </c>
      <c r="G216" s="48">
        <f>'Examens accrédités et ajouts'!M229</f>
        <v>0</v>
      </c>
    </row>
    <row r="217" spans="1:7" x14ac:dyDescent="0.2">
      <c r="A217" s="48" t="str">
        <f>'Examens accrédités et ajouts'!A230</f>
        <v>HOPITAL CHARLES NICOLLE CHU ROUEN</v>
      </c>
      <c r="B217" s="48" t="str">
        <f>'Examens accrédités et ajouts'!B230</f>
        <v>Biochimie Métabolique</v>
      </c>
      <c r="C217" s="48" t="str">
        <f>'Examens accrédités et ajouts'!E230</f>
        <v>Guanidinoacétate</v>
      </c>
      <c r="D217" s="48" t="str">
        <f>'Examens accrédités et ajouts'!F230</f>
        <v>Urine</v>
      </c>
      <c r="E217" s="182" t="str">
        <f>'Examens accrédités et ajouts'!Q230</f>
        <v>BM BB02 _ B _ Extraction du guanidinoacétate de l'urine et analyse par spectrometrie de masse en tandem. _ Quantitatif _ Semi-automatisée _ 1 _ Spectromètre de masse en tandem couplé à une HPLC</v>
      </c>
      <c r="F217" s="48" t="str">
        <f>'Examens accrédités et ajouts'!L230</f>
        <v>15079 v003</v>
      </c>
      <c r="G217" s="48">
        <f>'Examens accrédités et ajouts'!M230</f>
        <v>0</v>
      </c>
    </row>
    <row r="218" spans="1:7" x14ac:dyDescent="0.2">
      <c r="A218" s="48" t="str">
        <f>'Examens accrédités et ajouts'!A231</f>
        <v>HOPITAL CHARLES NICOLLE CHU ROUEN</v>
      </c>
      <c r="B218" s="48" t="str">
        <f>'Examens accrédités et ajouts'!B231</f>
        <v>Biochimie Métabolique</v>
      </c>
      <c r="C218" s="48" t="str">
        <f>'Examens accrédités et ajouts'!E231</f>
        <v>Créatinine</v>
      </c>
      <c r="D218" s="48" t="str">
        <f>'Examens accrédités et ajouts'!F231</f>
        <v>Urine</v>
      </c>
      <c r="E218" s="182" t="str">
        <f>'Examens accrédités et ajouts'!Q231</f>
        <v>BM BB02 _ B _ Extraction de la créatinine de l'urine et analyse par spectrometrie de masse en tandem. _ Quantitatif _ Semi-automatisée _ 1 _ Spectromètre de masse en tandem couplé à une HPLC</v>
      </c>
      <c r="F218" s="48" t="str">
        <f>'Examens accrédités et ajouts'!L231</f>
        <v>15080 v002</v>
      </c>
      <c r="G218" s="48" t="str">
        <f>'Examens accrédités et ajouts'!M231</f>
        <v>Cadre: Dosage  réalisé pour analyse du métabolisme de la créatine</v>
      </c>
    </row>
    <row r="219" spans="1:7" x14ac:dyDescent="0.2">
      <c r="A219" s="48" t="str">
        <f>'Examens accrédités et ajouts'!A232</f>
        <v>HOPITAL CHARLES NICOLLE CHU ROUEN</v>
      </c>
      <c r="B219" s="48" t="str">
        <f>'Examens accrédités et ajouts'!B232</f>
        <v>Biochimie Métabolique</v>
      </c>
      <c r="C219" s="48" t="str">
        <f>'Examens accrédités et ajouts'!E232</f>
        <v>Homocystéine plasmatique</v>
      </c>
      <c r="D219" s="48" t="str">
        <f>'Examens accrédités et ajouts'!F232</f>
        <v>Sang</v>
      </c>
      <c r="E219" s="182" t="str">
        <f>'Examens accrédités et ajouts'!Q232</f>
        <v>BM BB02 _ B _ Spectrométrie de masse en tandem  _ Quantitatif _ Semi-automatisée _ 1 _ Spectromètre de masse en tandem couplé à une HPLC</v>
      </c>
      <c r="F219" s="48" t="str">
        <f>'Examens accrédités et ajouts'!L232</f>
        <v>27419 v1</v>
      </c>
      <c r="G219" s="48">
        <f>'Examens accrédités et ajouts'!M232</f>
        <v>0</v>
      </c>
    </row>
    <row r="220" spans="1:7" x14ac:dyDescent="0.2">
      <c r="A220" s="48" t="str">
        <f>'Examens accrédités et ajouts'!A233</f>
        <v>HOPITAL CHARLES NICOLLE CHU ROUEN</v>
      </c>
      <c r="B220" s="48" t="str">
        <f>'Examens accrédités et ajouts'!B233</f>
        <v>Biochimie Métabolique</v>
      </c>
      <c r="C220" s="48" t="str">
        <f>'Examens accrédités et ajouts'!E233</f>
        <v>Méthionine plasmatique</v>
      </c>
      <c r="D220" s="48" t="str">
        <f>'Examens accrédités et ajouts'!F233</f>
        <v>Sang</v>
      </c>
      <c r="E220" s="182" t="str">
        <f>'Examens accrédités et ajouts'!Q233</f>
        <v>BM BB02 _ B _ Chromatographie liquide haute performance  avec détection par spectrométrie de masse en tandem (LC-MS/MS) _ Quantitatif _ Semi-automatisée _ 1 _ Système HPLC Shimadzu couplé à spectromètre de masse ABSciex 4000QTrap</v>
      </c>
      <c r="F220" s="48" t="str">
        <f>'Examens accrédités et ajouts'!L233</f>
        <v>34818 v1</v>
      </c>
      <c r="G220" s="48">
        <f>'Examens accrédités et ajouts'!M233</f>
        <v>0</v>
      </c>
    </row>
    <row r="221" spans="1:7" x14ac:dyDescent="0.2">
      <c r="A221" s="48" t="str">
        <f>'Examens accrédités et ajouts'!A234</f>
        <v>HOPITAL CHARLES NICOLLE CHU ROUEN</v>
      </c>
      <c r="B221" s="48" t="str">
        <f>'Examens accrédités et ajouts'!B234</f>
        <v>Biochimie Métabolique</v>
      </c>
      <c r="C221" s="48" t="str">
        <f>'Examens accrédités et ajouts'!E234</f>
        <v>Créatine plasmatique</v>
      </c>
      <c r="D221" s="48" t="str">
        <f>'Examens accrédités et ajouts'!F234</f>
        <v>Sang</v>
      </c>
      <c r="E221" s="182" t="str">
        <f>'Examens accrédités et ajouts'!Q234</f>
        <v>BM BB02 _ B _ Chromatographie liquide haute performance (CLHP) avec détection par spectrométrie de masse en tandem (MSMS) _ Quantitatif _ Semi-automatisée _ 1 _ Système HPLC Shimadzu couplé à spectromètre de masse ABSciex 4000QTrap</v>
      </c>
      <c r="F221" s="48" t="str">
        <f>'Examens accrédités et ajouts'!L234</f>
        <v>34840 v1</v>
      </c>
      <c r="G221" s="48">
        <f>'Examens accrédités et ajouts'!M234</f>
        <v>0</v>
      </c>
    </row>
    <row r="222" spans="1:7" x14ac:dyDescent="0.2">
      <c r="A222" s="48" t="str">
        <f>'Examens accrédités et ajouts'!A235</f>
        <v>HOPITAL CHARLES NICOLLE CHU ROUEN</v>
      </c>
      <c r="B222" s="48" t="str">
        <f>'Examens accrédités et ajouts'!B235</f>
        <v>Biochimie Métabolique</v>
      </c>
      <c r="C222" s="48" t="str">
        <f>'Examens accrédités et ajouts'!E235</f>
        <v>Guanidinoacétate plasmatique</v>
      </c>
      <c r="D222" s="48" t="str">
        <f>'Examens accrédités et ajouts'!F235</f>
        <v>Sang</v>
      </c>
      <c r="E222" s="182" t="str">
        <f>'Examens accrédités et ajouts'!Q235</f>
        <v>BM BB02 _ B _ Chromatographie liquide haute performance (CLHP) avec détection par spectrométrie de masse en tandem (MSMS) _ Quantitatif _ Semi-automatisée _ 1 _ Système HPLC Shimadzu couplé à spectromètre de masse ABSciex 4000QTrap</v>
      </c>
      <c r="F222" s="48" t="str">
        <f>'Examens accrédités et ajouts'!L235</f>
        <v>34841 v1</v>
      </c>
      <c r="G222" s="48">
        <f>'Examens accrédités et ajouts'!M235</f>
        <v>0</v>
      </c>
    </row>
    <row r="223" spans="1:7" x14ac:dyDescent="0.2">
      <c r="A223" s="48" t="str">
        <f>'Examens accrédités et ajouts'!A236</f>
        <v>HOPITAL CHARLES NICOLLE CHU ROUEN</v>
      </c>
      <c r="B223" s="48" t="str">
        <f>'Examens accrédités et ajouts'!B236</f>
        <v>Biochimie Métabolique</v>
      </c>
      <c r="C223" s="48" t="str">
        <f>'Examens accrédités et ajouts'!E236</f>
        <v>Acide glutarique</v>
      </c>
      <c r="D223" s="48" t="str">
        <f>'Examens accrédités et ajouts'!F236</f>
        <v>Urine</v>
      </c>
      <c r="E223" s="182" t="str">
        <f>'Examens accrédités et ajouts'!Q236</f>
        <v>BM BB02 _ B _ Chromatographie en phase gazeuse avec detection par spectrométrie      de masse _ Quantitatif _ Semi-automatisée _ 1 _ SHIMADZU QP2010</v>
      </c>
      <c r="F223" s="48" t="str">
        <f>'Examens accrédités et ajouts'!L236</f>
        <v>30402 v3</v>
      </c>
      <c r="G223" s="48">
        <f>'Examens accrédités et ajouts'!M236</f>
        <v>0</v>
      </c>
    </row>
    <row r="224" spans="1:7" x14ac:dyDescent="0.2">
      <c r="A224" s="48" t="str">
        <f>'Examens accrédités et ajouts'!A237</f>
        <v>HOPITAL CHARLES NICOLLE CHU ROUEN</v>
      </c>
      <c r="B224" s="48" t="str">
        <f>'Examens accrédités et ajouts'!B237</f>
        <v>Biochimie Métabolique</v>
      </c>
      <c r="C224" s="48" t="str">
        <f>'Examens accrédités et ajouts'!E237</f>
        <v>Alanine sur buvard</v>
      </c>
      <c r="D224" s="48" t="str">
        <f>'Examens accrédités et ajouts'!F237</f>
        <v>Sang séché sur papier buvard</v>
      </c>
      <c r="E224" s="182" t="str">
        <f>'Examens accrédités et ajouts'!Q237</f>
        <v>BM BB02 _ A _ FIA avec détection par spectrométrie de masse en tandem (MSMS) _ Quantitatif _ Automatisée _ 2 _ FIA, Injecteur : 2 Qsight HC Autosampler MD et MSMS : PerkinElmer Qsight 225MD</v>
      </c>
      <c r="F224" s="48" t="str">
        <f>'Examens accrédités et ajouts'!L237</f>
        <v>32077 v2</v>
      </c>
      <c r="G224" s="48">
        <f>'Examens accrédités et ajouts'!M237</f>
        <v>0</v>
      </c>
    </row>
    <row r="225" spans="1:7" x14ac:dyDescent="0.2">
      <c r="A225" s="48" t="str">
        <f>'Examens accrédités et ajouts'!A238</f>
        <v>HOPITAL CHARLES NICOLLE CHU ROUEN</v>
      </c>
      <c r="B225" s="48" t="str">
        <f>'Examens accrédités et ajouts'!B238</f>
        <v>Biochimie Métabolique</v>
      </c>
      <c r="C225" s="48" t="str">
        <f>'Examens accrédités et ajouts'!E238</f>
        <v>Arginine sur buvard</v>
      </c>
      <c r="D225" s="48" t="str">
        <f>'Examens accrédités et ajouts'!F238</f>
        <v>Sang séché sur papier buvard</v>
      </c>
      <c r="E225" s="182" t="str">
        <f>'Examens accrédités et ajouts'!Q238</f>
        <v>BM BB02 _ A _ FIA avec détection par spectrométrie de masse en tandem (MSMS) _ Quantitatif _ Automatisée _ 2 _ FIA, Injecteur : 2 Qsight HC Autosampler MD et MSMS : PerkinElmer Qsight 225MD</v>
      </c>
      <c r="F225" s="48" t="str">
        <f>'Examens accrédités et ajouts'!L238</f>
        <v>32078 v2</v>
      </c>
      <c r="G225" s="48">
        <f>'Examens accrédités et ajouts'!M238</f>
        <v>0</v>
      </c>
    </row>
    <row r="226" spans="1:7" x14ac:dyDescent="0.2">
      <c r="A226" s="48" t="str">
        <f>'Examens accrédités et ajouts'!A239</f>
        <v>HOPITAL CHARLES NICOLLE CHU ROUEN</v>
      </c>
      <c r="B226" s="48" t="str">
        <f>'Examens accrédités et ajouts'!B239</f>
        <v>Biochimie Métabolique</v>
      </c>
      <c r="C226" s="48" t="str">
        <f>'Examens accrédités et ajouts'!E239</f>
        <v>Citrulline sur buvard</v>
      </c>
      <c r="D226" s="48" t="str">
        <f>'Examens accrédités et ajouts'!F239</f>
        <v>Sang séché sur papier buvard</v>
      </c>
      <c r="E226" s="182" t="str">
        <f>'Examens accrédités et ajouts'!Q239</f>
        <v>BM BB02 _ A _ FIA avec détection par spectrométrie de masse en tandem (MSMS) _ Quantitatif _ Automatisée _ 2 _ FIA, Injecteur : 2 Qsight HC Autosampler MD et MSMS : PerkinElmer Qsight 225MD</v>
      </c>
      <c r="F226" s="48" t="str">
        <f>'Examens accrédités et ajouts'!L239</f>
        <v>32080 v2</v>
      </c>
      <c r="G226" s="48">
        <f>'Examens accrédités et ajouts'!M239</f>
        <v>0</v>
      </c>
    </row>
    <row r="227" spans="1:7" x14ac:dyDescent="0.2">
      <c r="A227" s="48" t="str">
        <f>'Examens accrédités et ajouts'!A240</f>
        <v>HOPITAL CHARLES NICOLLE CHU ROUEN</v>
      </c>
      <c r="B227" s="48" t="str">
        <f>'Examens accrédités et ajouts'!B240</f>
        <v>Biochimie Métabolique</v>
      </c>
      <c r="C227" s="48" t="str">
        <f>'Examens accrédités et ajouts'!E240</f>
        <v>Glycine sur buvard</v>
      </c>
      <c r="D227" s="48" t="str">
        <f>'Examens accrédités et ajouts'!F240</f>
        <v>Sang séché sur papier buvard</v>
      </c>
      <c r="E227" s="182" t="str">
        <f>'Examens accrédités et ajouts'!Q240</f>
        <v>BM BB02 _ A _ FIA avec détection par spectrométrie de masse en tandem (MSMS) _ Quantitatif _ Automatisée _ 2 _ FIA, Injecteur : 2 Qsight HC Autosampler MD et MSMS : PerkinElmer Qsight 225MD</v>
      </c>
      <c r="F227" s="48" t="str">
        <f>'Examens accrédités et ajouts'!L240</f>
        <v>32081 v2</v>
      </c>
      <c r="G227" s="48">
        <f>'Examens accrédités et ajouts'!M240</f>
        <v>0</v>
      </c>
    </row>
    <row r="228" spans="1:7" x14ac:dyDescent="0.2">
      <c r="A228" s="48" t="str">
        <f>'Examens accrédités et ajouts'!A241</f>
        <v>HOPITAL CHARLES NICOLLE CHU ROUEN</v>
      </c>
      <c r="B228" s="48" t="str">
        <f>'Examens accrédités et ajouts'!B241</f>
        <v>Biochimie Métabolique</v>
      </c>
      <c r="C228" s="48" t="str">
        <f>'Examens accrédités et ajouts'!E241</f>
        <v>Leucine - Isoleucine sur buvard</v>
      </c>
      <c r="D228" s="48" t="str">
        <f>'Examens accrédités et ajouts'!F241</f>
        <v>Sang séché sur papier buvard</v>
      </c>
      <c r="E228" s="182" t="str">
        <f>'Examens accrédités et ajouts'!Q241</f>
        <v>BM BB02 _ A _ FIA avec détection par spectrométrie de masse en tandem (MSMS) _ Quantitatif _ Automatisée _ 2 _ FIA, Injecteur : 2 Qsight HC Autosampler MD et MSMS : PerkinElmer Qsight 225MD</v>
      </c>
      <c r="F228" s="48" t="str">
        <f>'Examens accrédités et ajouts'!L241</f>
        <v>32082 v2</v>
      </c>
      <c r="G228" s="48">
        <f>'Examens accrédités et ajouts'!M241</f>
        <v>0</v>
      </c>
    </row>
    <row r="229" spans="1:7" x14ac:dyDescent="0.2">
      <c r="A229" s="48" t="str">
        <f>'Examens accrédités et ajouts'!A242</f>
        <v>HOPITAL CHARLES NICOLLE CHU ROUEN</v>
      </c>
      <c r="B229" s="48" t="str">
        <f>'Examens accrédités et ajouts'!B242</f>
        <v>Biochimie Métabolique</v>
      </c>
      <c r="C229" s="48" t="str">
        <f>'Examens accrédités et ajouts'!E242</f>
        <v>Methionine sur buvard</v>
      </c>
      <c r="D229" s="48" t="str">
        <f>'Examens accrédités et ajouts'!F242</f>
        <v>Sang séché sur papier buvard</v>
      </c>
      <c r="E229" s="182" t="str">
        <f>'Examens accrédités et ajouts'!Q242</f>
        <v>BM BB02 _ A _ FIA avec détection par spectrométrie de masse en tandem (MSMS) _ Quantitatif _ Automatisée _ 2 _ FIA, Injecteur : 2 Qsight HC Autosampler MD et MSMS : PerkinElmer Qsight 225MD</v>
      </c>
      <c r="F229" s="48" t="str">
        <f>'Examens accrédités et ajouts'!L242</f>
        <v>32083 v2</v>
      </c>
      <c r="G229" s="48">
        <f>'Examens accrédités et ajouts'!M242</f>
        <v>0</v>
      </c>
    </row>
    <row r="230" spans="1:7" x14ac:dyDescent="0.2">
      <c r="A230" s="48" t="str">
        <f>'Examens accrédités et ajouts'!A243</f>
        <v>HOPITAL CHARLES NICOLLE CHU ROUEN</v>
      </c>
      <c r="B230" s="48" t="str">
        <f>'Examens accrédités et ajouts'!B243</f>
        <v>Biochimie Métabolique</v>
      </c>
      <c r="C230" s="48" t="str">
        <f>'Examens accrédités et ajouts'!E243</f>
        <v>Tyrosine sur buvard</v>
      </c>
      <c r="D230" s="48" t="str">
        <f>'Examens accrédités et ajouts'!F243</f>
        <v>Sang séché sur papier buvard</v>
      </c>
      <c r="E230" s="182" t="str">
        <f>'Examens accrédités et ajouts'!Q243</f>
        <v>BM BB02 _ A _ FIA avec détection par spectrométrie de masse en tandem (MSMS) _ Quantitatif _ Automatisée _ 2 _ FIA, Injecteur : 2 Qsight HC Autosampler MD et MSMS : PerkinElmer Qsight 225MD</v>
      </c>
      <c r="F230" s="48" t="str">
        <f>'Examens accrédités et ajouts'!L243</f>
        <v>32085 v2</v>
      </c>
      <c r="G230" s="48">
        <f>'Examens accrédités et ajouts'!M243</f>
        <v>0</v>
      </c>
    </row>
    <row r="231" spans="1:7" x14ac:dyDescent="0.2">
      <c r="A231" s="48" t="str">
        <f>'Examens accrédités et ajouts'!A244</f>
        <v>HOPITAL CHARLES NICOLLE CHU ROUEN</v>
      </c>
      <c r="B231" s="48" t="str">
        <f>'Examens accrédités et ajouts'!B244</f>
        <v>Biochimie Métabolique</v>
      </c>
      <c r="C231" s="48" t="str">
        <f>'Examens accrédités et ajouts'!E244</f>
        <v>Valine sur buvard</v>
      </c>
      <c r="D231" s="48" t="str">
        <f>'Examens accrédités et ajouts'!F244</f>
        <v>Sang séché sur papier buvard</v>
      </c>
      <c r="E231" s="182" t="str">
        <f>'Examens accrédités et ajouts'!Q244</f>
        <v>BM BB02 _ A _ FIA avec détection par spectrométrie de masse en tandem (MSMS) _ Quantitatif _ Automatisée _ 2 _ FIA, Injecteur : 2 Qsight HC Autosampler MD et MSMS : PerkinElmer Qsight 225MD</v>
      </c>
      <c r="F231" s="48" t="str">
        <f>'Examens accrédités et ajouts'!L244</f>
        <v>32087 v2</v>
      </c>
      <c r="G231" s="48">
        <f>'Examens accrédités et ajouts'!M244</f>
        <v>0</v>
      </c>
    </row>
    <row r="232" spans="1:7" x14ac:dyDescent="0.2">
      <c r="A232" s="48" t="str">
        <f>'Examens accrédités et ajouts'!A245</f>
        <v>HOPITAL CHARLES NICOLLE CHU ROUEN</v>
      </c>
      <c r="B232" s="48" t="str">
        <f>'Examens accrédités et ajouts'!B245</f>
        <v>Biochimie Métabolique</v>
      </c>
      <c r="C232" s="48" t="str">
        <f>'Examens accrédités et ajouts'!E245</f>
        <v>Carnitine libre (C0) sur buvard</v>
      </c>
      <c r="D232" s="48" t="str">
        <f>'Examens accrédités et ajouts'!F245</f>
        <v>Sang séché sur papier buvard</v>
      </c>
      <c r="E232" s="182" t="str">
        <f>'Examens accrédités et ajouts'!Q245</f>
        <v>BM BB02 _ A _ FIA avec détection par spectrométrie de masse en tandem (MSMS) _ Quantitatif _ Automatisée _ 2 _ FIA, Injecteur : Qsight HC Autosampler MD et MSMS : PerkinElmer Qsight 225MD</v>
      </c>
      <c r="F232" s="48" t="str">
        <f>'Examens accrédités et ajouts'!L245</f>
        <v>32094 v2</v>
      </c>
      <c r="G232" s="48">
        <f>'Examens accrédités et ajouts'!M245</f>
        <v>0</v>
      </c>
    </row>
    <row r="233" spans="1:7" x14ac:dyDescent="0.2">
      <c r="A233" s="48" t="str">
        <f>'Examens accrédités et ajouts'!A246</f>
        <v>HOPITAL CHARLES NICOLLE CHU ROUEN</v>
      </c>
      <c r="B233" s="48" t="str">
        <f>'Examens accrédités et ajouts'!B246</f>
        <v>Biochimie Métabolique</v>
      </c>
      <c r="C233" s="48" t="str">
        <f>'Examens accrédités et ajouts'!E246</f>
        <v>Acétylcarnitine (C2) sur buvard</v>
      </c>
      <c r="D233" s="48" t="str">
        <f>'Examens accrédités et ajouts'!F246</f>
        <v>Sang séché sur papier buvard</v>
      </c>
      <c r="E233" s="182" t="str">
        <f>'Examens accrédités et ajouts'!Q246</f>
        <v>BM BB02 _ A _ FIA avec détection par spectrométrie de masse en tandem (MSMS) _ Quantitatif _ Automatisée _ 2 _ FIA, Injecteur : Qsight HC Autosampler MD et MSMS : PerkinElmer Qsight 225MD</v>
      </c>
      <c r="F233" s="48" t="str">
        <f>'Examens accrédités et ajouts'!L246</f>
        <v>32095 v2</v>
      </c>
      <c r="G233" s="48">
        <f>'Examens accrédités et ajouts'!M246</f>
        <v>0</v>
      </c>
    </row>
    <row r="234" spans="1:7" x14ac:dyDescent="0.2">
      <c r="A234" s="48" t="str">
        <f>'Examens accrédités et ajouts'!A247</f>
        <v>HOPITAL CHARLES NICOLLE CHU ROUEN</v>
      </c>
      <c r="B234" s="48" t="str">
        <f>'Examens accrédités et ajouts'!B247</f>
        <v>Biochimie Métabolique</v>
      </c>
      <c r="C234" s="48" t="str">
        <f>'Examens accrédités et ajouts'!E247</f>
        <v>Propionylcarnitine (C3) sur buvard</v>
      </c>
      <c r="D234" s="48" t="str">
        <f>'Examens accrédités et ajouts'!F247</f>
        <v>Sang séché sur papier buvard</v>
      </c>
      <c r="E234" s="182" t="str">
        <f>'Examens accrédités et ajouts'!Q247</f>
        <v>BM BB02 _ A _ FIA avec détection par spectrométrie de masse en tandem (MSMS) _ Quantitatif _ Automatisée _ 2 _ FIA, Injecteur : Qsight HC Autosampler MD et MSMS : PerkinElmer Qsight 225MD</v>
      </c>
      <c r="F234" s="48" t="str">
        <f>'Examens accrédités et ajouts'!L247</f>
        <v>32096 v2</v>
      </c>
      <c r="G234" s="48">
        <f>'Examens accrédités et ajouts'!M247</f>
        <v>0</v>
      </c>
    </row>
    <row r="235" spans="1:7" x14ac:dyDescent="0.2">
      <c r="A235" s="48" t="str">
        <f>'Examens accrédités et ajouts'!A248</f>
        <v>HOPITAL CHARLES NICOLLE CHU ROUEN</v>
      </c>
      <c r="B235" s="48" t="str">
        <f>'Examens accrédités et ajouts'!B248</f>
        <v>Biochimie Métabolique</v>
      </c>
      <c r="C235" s="48" t="str">
        <f>'Examens accrédités et ajouts'!E248</f>
        <v>Butyrylcarnitine (C4) sur buvard</v>
      </c>
      <c r="D235" s="48" t="str">
        <f>'Examens accrédités et ajouts'!F248</f>
        <v>Sang séché sur papier buvard</v>
      </c>
      <c r="E235" s="182" t="str">
        <f>'Examens accrédités et ajouts'!Q248</f>
        <v>BM BB02 _ A _ FIA avec détection par spectrométrie de masse en tandem (MSMS) _ Quantitatif _ Automatisée _ 2 _ FIA, Injecteur : Qsight HC Autosampler MD et MSMS : PerkinElmer Qsight 225MD</v>
      </c>
      <c r="F235" s="48" t="str">
        <f>'Examens accrédités et ajouts'!L248</f>
        <v>32097 v2</v>
      </c>
      <c r="G235" s="48">
        <f>'Examens accrédités et ajouts'!M248</f>
        <v>0</v>
      </c>
    </row>
    <row r="236" spans="1:7" x14ac:dyDescent="0.2">
      <c r="A236" s="48" t="str">
        <f>'Examens accrédités et ajouts'!A249</f>
        <v>HOPITAL CHARLES NICOLLE CHU ROUEN</v>
      </c>
      <c r="B236" s="48" t="str">
        <f>'Examens accrédités et ajouts'!B249</f>
        <v>Biochimie Métabolique</v>
      </c>
      <c r="C236" s="48" t="str">
        <f>'Examens accrédités et ajouts'!E249</f>
        <v>Isovalerylcarnitine (C5) sur buvard</v>
      </c>
      <c r="D236" s="48" t="str">
        <f>'Examens accrédités et ajouts'!F249</f>
        <v>Sang séché sur papier buvard</v>
      </c>
      <c r="E236" s="182" t="str">
        <f>'Examens accrédités et ajouts'!Q249</f>
        <v>BM BB02 _ A _ FIA avec détection par spectrométrie de masse en tandem (MSMS) _ Quantitatif _ Automatisée _ 2 _ FIA, Injecteur : Qsight HC Autosampler MD et MSMS : PerkinElmer Qsight 225MD</v>
      </c>
      <c r="F236" s="48" t="str">
        <f>'Examens accrédités et ajouts'!L249</f>
        <v>32098 v2</v>
      </c>
      <c r="G236" s="48">
        <f>'Examens accrédités et ajouts'!M249</f>
        <v>0</v>
      </c>
    </row>
    <row r="237" spans="1:7" x14ac:dyDescent="0.2">
      <c r="A237" s="48" t="str">
        <f>'Examens accrédités et ajouts'!A250</f>
        <v>HOPITAL CHARLES NICOLLE CHU ROUEN</v>
      </c>
      <c r="B237" s="48" t="str">
        <f>'Examens accrédités et ajouts'!B250</f>
        <v>Biochimie Métabolique</v>
      </c>
      <c r="C237" s="48" t="str">
        <f>'Examens accrédités et ajouts'!E250</f>
        <v>Octanoylcarnitine (C8) sur buvard</v>
      </c>
      <c r="D237" s="48" t="str">
        <f>'Examens accrédités et ajouts'!F250</f>
        <v>Sang séché sur papier buvard</v>
      </c>
      <c r="E237" s="182" t="str">
        <f>'Examens accrédités et ajouts'!Q250</f>
        <v>BM BB02 _ A _ FIA avec détection par spectrométrie de masse en tandem (MSMS) _ Quantitatif _ Automatisée _ 2 _ FIA, Injecteur : Qsight HC Autosampler MD et MSMS : PerkinElmer Qsight 225MD</v>
      </c>
      <c r="F237" s="48" t="str">
        <f>'Examens accrédités et ajouts'!L250</f>
        <v>32100 v2</v>
      </c>
      <c r="G237" s="48">
        <f>'Examens accrédités et ajouts'!M250</f>
        <v>0</v>
      </c>
    </row>
    <row r="238" spans="1:7" x14ac:dyDescent="0.2">
      <c r="A238" s="48" t="str">
        <f>'Examens accrédités et ajouts'!A251</f>
        <v>HOPITAL CHARLES NICOLLE CHU ROUEN</v>
      </c>
      <c r="B238" s="48" t="str">
        <f>'Examens accrédités et ajouts'!B251</f>
        <v>Biochimie Métabolique</v>
      </c>
      <c r="C238" s="48" t="str">
        <f>'Examens accrédités et ajouts'!E251</f>
        <v>Tetradécanoylcarnitine (C14) sur buvard</v>
      </c>
      <c r="D238" s="48" t="str">
        <f>'Examens accrédités et ajouts'!F251</f>
        <v>Sang séché sur papier buvard</v>
      </c>
      <c r="E238" s="182" t="str">
        <f>'Examens accrédités et ajouts'!Q251</f>
        <v>BM BB02 _ A _ FIA avec détection par spectrométrie de masse en tandem (MSMS) _ Quantitatif _ Automatisée _ 2 _ FIA, Injecteur : Qsight HC Autosampler MD et MSMS : PerkinElmer Qsight 225MD</v>
      </c>
      <c r="F238" s="48" t="str">
        <f>'Examens accrédités et ajouts'!L251</f>
        <v>32103 v2</v>
      </c>
      <c r="G238" s="48">
        <f>'Examens accrédités et ajouts'!M251</f>
        <v>0</v>
      </c>
    </row>
    <row r="239" spans="1:7" x14ac:dyDescent="0.2">
      <c r="A239" s="48" t="str">
        <f>'Examens accrédités et ajouts'!A252</f>
        <v>HOPITAL CHARLES NICOLLE CHU ROUEN</v>
      </c>
      <c r="B239" s="48" t="str">
        <f>'Examens accrédités et ajouts'!B252</f>
        <v>Biochimie Métabolique</v>
      </c>
      <c r="C239" s="48" t="str">
        <f>'Examens accrédités et ajouts'!E252</f>
        <v>Octadécanoylcarnitine (C18) sur buvard</v>
      </c>
      <c r="D239" s="48" t="str">
        <f>'Examens accrédités et ajouts'!F252</f>
        <v>Sang séché sur papier buvard</v>
      </c>
      <c r="E239" s="182" t="str">
        <f>'Examens accrédités et ajouts'!Q252</f>
        <v>BM BB02 _ A _ FIA avec détection par spectrométrie de masse en tandem (MSMS) _ Quantitatif _ Automatisée _ 2 _ FIA, Injecteur : Qsight HC Autosampler MD et MSMS : PerkinElmer Qsight 225MD</v>
      </c>
      <c r="F239" s="48" t="str">
        <f>'Examens accrédités et ajouts'!L252</f>
        <v>32104 v2</v>
      </c>
      <c r="G239" s="48">
        <f>'Examens accrédités et ajouts'!M252</f>
        <v>0</v>
      </c>
    </row>
    <row r="240" spans="1:7" x14ac:dyDescent="0.2">
      <c r="A240" s="48" t="str">
        <f>'Examens accrédités et ajouts'!A253</f>
        <v>HOPITAL CHARLES NICOLLE CHU ROUEN</v>
      </c>
      <c r="B240" s="48" t="str">
        <f>'Examens accrédités et ajouts'!B253</f>
        <v>Biochimie Métabolique</v>
      </c>
      <c r="C240" s="48" t="str">
        <f>'Examens accrédités et ajouts'!E253</f>
        <v>Ornithine sur buvard</v>
      </c>
      <c r="D240" s="48" t="str">
        <f>'Examens accrédités et ajouts'!F253</f>
        <v>Sang séché sur papier buvard</v>
      </c>
      <c r="E240" s="182" t="str">
        <f>'Examens accrédités et ajouts'!Q253</f>
        <v>BM BB02 _ A _ FIA avec détection par spectrométrie de masse en tandem (MSMS) _ Quantitatif _ Automatisée _ 2 _ FIA, Injecteur : 2 Qsight HC Autosampler MD et MSMS : PerkinElmer Qsight 225MD</v>
      </c>
      <c r="F240" s="48" t="str">
        <f>'Examens accrédités et ajouts'!L253</f>
        <v>32190 v2</v>
      </c>
      <c r="G240" s="48">
        <f>'Examens accrédités et ajouts'!M253</f>
        <v>0</v>
      </c>
    </row>
    <row r="241" spans="1:7" x14ac:dyDescent="0.2">
      <c r="A241" s="48" t="str">
        <f>'Examens accrédités et ajouts'!A254</f>
        <v>HOPITAL CHARLES NICOLLE CHU ROUEN</v>
      </c>
      <c r="B241" s="48" t="str">
        <f>'Examens accrédités et ajouts'!B254</f>
        <v>Biochimie Métabolique</v>
      </c>
      <c r="C241" s="48" t="str">
        <f>'Examens accrédités et ajouts'!E254</f>
        <v>Phenylalanine sur buvard</v>
      </c>
      <c r="D241" s="48" t="str">
        <f>'Examens accrédités et ajouts'!F254</f>
        <v>Sang séché sur papier buvard</v>
      </c>
      <c r="E241" s="182" t="str">
        <f>'Examens accrédités et ajouts'!Q254</f>
        <v>BM BB02 _ A _ FIA avec détection par spectrométrie de masse en tandem (MSMS) _ Quantitatif _ Automatisée _ 2 _ FIA, Injecteur : 2 Qsight HC Autosampler MD et MSMS : PerkinElmer Qsight 225MD</v>
      </c>
      <c r="F241" s="48" t="str">
        <f>'Examens accrédités et ajouts'!L254</f>
        <v>32084 v2</v>
      </c>
      <c r="G241" s="48">
        <f>'Examens accrédités et ajouts'!M254</f>
        <v>0</v>
      </c>
    </row>
    <row r="242" spans="1:7" x14ac:dyDescent="0.2">
      <c r="A242" s="48" t="str">
        <f>'Examens accrédités et ajouts'!A255</f>
        <v>HOPITAL CHARLES NICOLLE CHU ROUEN</v>
      </c>
      <c r="B242" s="48" t="str">
        <f>'Examens accrédités et ajouts'!B255</f>
        <v>Biochimie Métabolique</v>
      </c>
      <c r="C242" s="48" t="str">
        <f>'Examens accrédités et ajouts'!E255</f>
        <v>C3DC-C4OH sur buvard</v>
      </c>
      <c r="D242" s="48" t="str">
        <f>'Examens accrédités et ajouts'!F255</f>
        <v>Sang séché sur papier buvard</v>
      </c>
      <c r="E242" s="182" t="str">
        <f>'Examens accrédités et ajouts'!Q255</f>
        <v>BM BB02 _ A _ FIA avec détection par spectrométrie de masse en tandem (MSMS) _ Quantitatif _ Automatisée _ 2 _ FIA, Injecteur : Qsight HC Autosampler MD et MSMS : PerkinElmer Qsight 225MD</v>
      </c>
      <c r="F242" s="48" t="str">
        <f>'Examens accrédités et ajouts'!L255</f>
        <v>32197 v2</v>
      </c>
      <c r="G242" s="48">
        <f>'Examens accrédités et ajouts'!M255</f>
        <v>0</v>
      </c>
    </row>
    <row r="243" spans="1:7" x14ac:dyDescent="0.2">
      <c r="A243" s="48" t="str">
        <f>'Examens accrédités et ajouts'!A256</f>
        <v>HOPITAL CHARLES NICOLLE CHU ROUEN</v>
      </c>
      <c r="B243" s="48" t="str">
        <f>'Examens accrédités et ajouts'!B256</f>
        <v>Biochimie Métabolique</v>
      </c>
      <c r="C243" s="48" t="str">
        <f>'Examens accrédités et ajouts'!E256</f>
        <v>C4DC-C5OH sur buvard</v>
      </c>
      <c r="D243" s="48" t="str">
        <f>'Examens accrédités et ajouts'!F256</f>
        <v>Sang séché sur papier buvard</v>
      </c>
      <c r="E243" s="182" t="str">
        <f>'Examens accrédités et ajouts'!Q256</f>
        <v>BM BB02 _ A _ FIA avec détection par spectrométrie de masse en tandem (MSMS) _ Quantitatif _ Automatisée _ 2 _ FIA, Injecteur : Qsight HC Autosampler MD et MSMS : PerkinElmer Qsight 225MD</v>
      </c>
      <c r="F243" s="48" t="str">
        <f>'Examens accrédités et ajouts'!L256</f>
        <v>32193 v2</v>
      </c>
      <c r="G243" s="48">
        <f>'Examens accrédités et ajouts'!M256</f>
        <v>0</v>
      </c>
    </row>
    <row r="244" spans="1:7" x14ac:dyDescent="0.2">
      <c r="A244" s="48" t="str">
        <f>'Examens accrédités et ajouts'!A257</f>
        <v>HOPITAL CHARLES NICOLLE CHU ROUEN</v>
      </c>
      <c r="B244" s="48" t="str">
        <f>'Examens accrédités et ajouts'!B257</f>
        <v>Biochimie Métabolique</v>
      </c>
      <c r="C244" s="48" t="str">
        <f>'Examens accrédités et ajouts'!E257</f>
        <v>C5DC-C6OH sur buvard</v>
      </c>
      <c r="D244" s="48" t="str">
        <f>'Examens accrédités et ajouts'!F257</f>
        <v>Sang séché sur papier buvard</v>
      </c>
      <c r="E244" s="182" t="str">
        <f>'Examens accrédités et ajouts'!Q257</f>
        <v>BM BB02 _ A _ FIA avec détection par spectrométrie de masse en tandem (MSMS) _ Quantitatif _ Automatisée _ 2 _ FIA, Injecteur : Qsight HC Autosampler MD et MSMS : PerkinElmer Qsight 225MD</v>
      </c>
      <c r="F244" s="48" t="str">
        <f>'Examens accrédités et ajouts'!L257</f>
        <v>32175 v2</v>
      </c>
      <c r="G244" s="48">
        <f>'Examens accrédités et ajouts'!M257</f>
        <v>0</v>
      </c>
    </row>
    <row r="245" spans="1:7" x14ac:dyDescent="0.2">
      <c r="A245" s="48" t="str">
        <f>'Examens accrédités et ajouts'!A258</f>
        <v>HOPITAL CHARLES NICOLLE CHU ROUEN</v>
      </c>
      <c r="B245" s="48" t="str">
        <f>'Examens accrédités et ajouts'!B258</f>
        <v>Biochimie Métabolique</v>
      </c>
      <c r="C245" s="48" t="str">
        <f>'Examens accrédités et ajouts'!E258</f>
        <v>Hexanoylcarnitine (C6) sur buvard</v>
      </c>
      <c r="D245" s="48" t="str">
        <f>'Examens accrédités et ajouts'!F258</f>
        <v>Sang séché sur papier buvard</v>
      </c>
      <c r="E245" s="182" t="str">
        <f>'Examens accrédités et ajouts'!Q258</f>
        <v>BM BB02 _ A _ FIA avec détection par spectrométrie de masse en tandem (MSMS) _ Quantitatif _ Automatisée _ 2 _ FIA, Injecteur : Qsight HC Autosampler MD et MSMS : PerkinElmer Qsight 225MD</v>
      </c>
      <c r="F245" s="48" t="str">
        <f>'Examens accrédités et ajouts'!L258</f>
        <v>32099 v2</v>
      </c>
      <c r="G245" s="48">
        <f>'Examens accrédités et ajouts'!M258</f>
        <v>0</v>
      </c>
    </row>
    <row r="246" spans="1:7" x14ac:dyDescent="0.2">
      <c r="A246" s="48" t="str">
        <f>'Examens accrédités et ajouts'!A259</f>
        <v>HOPITAL CHARLES NICOLLE CHU ROUEN</v>
      </c>
      <c r="B246" s="48" t="str">
        <f>'Examens accrédités et ajouts'!B259</f>
        <v>Biochimie Métabolique</v>
      </c>
      <c r="C246" s="48" t="str">
        <f>'Examens accrédités et ajouts'!E259</f>
        <v>Decanoylcarnitine (C10) sur buvard</v>
      </c>
      <c r="D246" s="48" t="str">
        <f>'Examens accrédités et ajouts'!F259</f>
        <v>Sang séché sur papier buvard</v>
      </c>
      <c r="E246" s="182" t="str">
        <f>'Examens accrédités et ajouts'!Q259</f>
        <v>BM BB02 _ A _ FIA avec détection par spectrométrie de masse en tandem (MSMS) _ Quantitatif _ Automatisée _ 2 _ FIA, Injecteur : Qsight HC Autosampler MD et MSMS : PerkinElmer Qsight 225MD</v>
      </c>
      <c r="F246" s="48" t="str">
        <f>'Examens accrédités et ajouts'!L259</f>
        <v>32101 v2</v>
      </c>
      <c r="G246" s="48">
        <f>'Examens accrédités et ajouts'!M259</f>
        <v>0</v>
      </c>
    </row>
    <row r="247" spans="1:7" x14ac:dyDescent="0.2">
      <c r="A247" s="48" t="str">
        <f>'Examens accrédités et ajouts'!A260</f>
        <v>HOPITAL CHARLES NICOLLE CHU ROUEN</v>
      </c>
      <c r="B247" s="48" t="str">
        <f>'Examens accrédités et ajouts'!B260</f>
        <v>Biochimie Métabolique</v>
      </c>
      <c r="C247" s="48" t="str">
        <f>'Examens accrédités et ajouts'!E260</f>
        <v>Dodecanoylcarnitine (C12) sur buvard</v>
      </c>
      <c r="D247" s="48" t="str">
        <f>'Examens accrédités et ajouts'!F260</f>
        <v>Sang séché sur papier buvard</v>
      </c>
      <c r="E247" s="182" t="str">
        <f>'Examens accrédités et ajouts'!Q260</f>
        <v>BM BB02 _ A _ FIA avec détection par spectrométrie de masse en tandem (MSMS) _ Quantitatif _ Automatisée _ 2 _ FIA, Injecteur : Qsight HC Autosampler MD et MSMS : PerkinElmer Qsight 225MD</v>
      </c>
      <c r="F247" s="48" t="str">
        <f>'Examens accrédités et ajouts'!L260</f>
        <v>32102 v2</v>
      </c>
      <c r="G247" s="48">
        <f>'Examens accrédités et ajouts'!M260</f>
        <v>0</v>
      </c>
    </row>
    <row r="248" spans="1:7" x14ac:dyDescent="0.2">
      <c r="A248" s="48" t="str">
        <f>'Examens accrédités et ajouts'!A261</f>
        <v>HOPITAL CHARLES NICOLLE CHU ROUEN</v>
      </c>
      <c r="B248" s="48" t="str">
        <f>'Examens accrédités et ajouts'!B261</f>
        <v>Biochimie Métabolique</v>
      </c>
      <c r="C248" s="48" t="str">
        <f>'Examens accrédités et ajouts'!E261</f>
        <v>Tetradecenoylcarnitine (C14:1) sur buvard</v>
      </c>
      <c r="D248" s="48" t="str">
        <f>'Examens accrédités et ajouts'!F261</f>
        <v>Sang séché sur papier buvard</v>
      </c>
      <c r="E248" s="182" t="str">
        <f>'Examens accrédités et ajouts'!Q261</f>
        <v>BM BB02 _ A _ FIA avec détection par spectrométrie de masse en tandem (MSMS) _ Quantitatif _ Automatisée _ 2 _ FIA, Injecteur : Qsight HC Autosampler MD et MSMS : PerkinElmer Qsight 225MD</v>
      </c>
      <c r="F248" s="48" t="str">
        <f>'Examens accrédités et ajouts'!L261</f>
        <v>32195 v2</v>
      </c>
      <c r="G248" s="48">
        <f>'Examens accrédités et ajouts'!M261</f>
        <v>0</v>
      </c>
    </row>
    <row r="249" spans="1:7" x14ac:dyDescent="0.2">
      <c r="A249" s="48" t="str">
        <f>'Examens accrédités et ajouts'!A262</f>
        <v>HOPITAL CHARLES NICOLLE CHU ROUEN</v>
      </c>
      <c r="B249" s="48" t="str">
        <f>'Examens accrédités et ajouts'!B262</f>
        <v>Biochimie Métabolique</v>
      </c>
      <c r="C249" s="48" t="str">
        <f>'Examens accrédités et ajouts'!E262</f>
        <v>Hexadecanoylcarnitine (C16) sur buvard</v>
      </c>
      <c r="D249" s="48" t="str">
        <f>'Examens accrédités et ajouts'!F262</f>
        <v>Sang séché sur papier buvard</v>
      </c>
      <c r="E249" s="182" t="str">
        <f>'Examens accrédités et ajouts'!Q262</f>
        <v>BM BB02 _ A _ FIA avec détection par spectrométrie de masse en tandem (MSMS) _ Quantitatif _ Automatisée _ 2 _ FIA, Injecteur : Qsight HC Autosampler MD et MSMS : PerkinElmer Qsight 225MD</v>
      </c>
      <c r="F249" s="48" t="str">
        <f>'Examens accrédités et ajouts'!L262</f>
        <v>32191 v2</v>
      </c>
      <c r="G249" s="48">
        <f>'Examens accrédités et ajouts'!M262</f>
        <v>0</v>
      </c>
    </row>
    <row r="250" spans="1:7" x14ac:dyDescent="0.2">
      <c r="A250" s="48" t="str">
        <f>'Examens accrédités et ajouts'!A263</f>
        <v>HOPITAL CHARLES NICOLLE CHU ROUEN</v>
      </c>
      <c r="B250" s="48" t="str">
        <f>'Examens accrédités et ajouts'!B263</f>
        <v>Biochimie Métabolique</v>
      </c>
      <c r="C250" s="48" t="str">
        <f>'Examens accrédités et ajouts'!E263</f>
        <v>C16OH sur buvard</v>
      </c>
      <c r="D250" s="48" t="str">
        <f>'Examens accrédités et ajouts'!F263</f>
        <v>Sang séché sur papier buvard</v>
      </c>
      <c r="E250" s="182" t="str">
        <f>'Examens accrédités et ajouts'!Q263</f>
        <v>BM BB02 _ A _ FIA avec détection par spectrométrie de masse en tandem (MSMS) _ Quantitatif _ Automatisée _ 2 _ FIA, Injecteur : Qsight HC Autosampler MD et MSMS : PerkinElmer Qsight 225MD</v>
      </c>
      <c r="F250" s="48" t="str">
        <f>'Examens accrédités et ajouts'!L263</f>
        <v>32176 v2</v>
      </c>
      <c r="G250" s="48">
        <f>'Examens accrédités et ajouts'!M263</f>
        <v>0</v>
      </c>
    </row>
    <row r="251" spans="1:7" x14ac:dyDescent="0.2">
      <c r="A251" s="48" t="str">
        <f>'Examens accrédités et ajouts'!A264</f>
        <v>HOPITAL CHARLES NICOLLE CHU ROUEN</v>
      </c>
      <c r="B251" s="48" t="str">
        <f>'Examens accrédités et ajouts'!B264</f>
        <v>Biochimie Métabolique</v>
      </c>
      <c r="C251" s="48" t="str">
        <f>'Examens accrédités et ajouts'!E264</f>
        <v>C18OH sur buvard</v>
      </c>
      <c r="D251" s="48" t="str">
        <f>'Examens accrédités et ajouts'!F264</f>
        <v>Sang séché sur papier buvard</v>
      </c>
      <c r="E251" s="182" t="str">
        <f>'Examens accrédités et ajouts'!Q264</f>
        <v>BM BB02 _ A _ FIA avec détection par spectrométrie de masse en tandem (MSMS) _ Quantitatif _ Automatisée _ 2 _ FIA, Injecteur : Qsight HC Autosampler MD et MSMS : PerkinElmer Qsight 225MD</v>
      </c>
      <c r="F251" s="48" t="str">
        <f>'Examens accrédités et ajouts'!L264</f>
        <v>32177 v2</v>
      </c>
      <c r="G251" s="48">
        <f>'Examens accrédités et ajouts'!M264</f>
        <v>0</v>
      </c>
    </row>
    <row r="252" spans="1:7" x14ac:dyDescent="0.2">
      <c r="A252" s="48" t="str">
        <f>'Examens accrédités et ajouts'!A265</f>
        <v>HOPITAL CHARLES NICOLLE CHU ROUEN</v>
      </c>
      <c r="B252" s="48" t="str">
        <f>'Examens accrédités et ajouts'!B265</f>
        <v>Biochimie Métabolique</v>
      </c>
      <c r="C252" s="48" t="str">
        <f>'Examens accrédités et ajouts'!E265</f>
        <v>Tiglycarnitine (C5:1) sur buvard</v>
      </c>
      <c r="D252" s="48" t="str">
        <f>'Examens accrédités et ajouts'!F265</f>
        <v>Sang séché sur papier buvard</v>
      </c>
      <c r="E252" s="182" t="str">
        <f>'Examens accrédités et ajouts'!Q265</f>
        <v>BM BB02 _ A _ FIA avec détection par spectrométrie de masse en tandem (MSMS) _ Quantitatif _ Automatisée _ 2 _ FIA, Injecteur : Qsight HC Autosampler MD et MSMS : PerkinElmer Qsight 225MD</v>
      </c>
      <c r="F252" s="48" t="str">
        <f>'Examens accrédités et ajouts'!L265</f>
        <v>32209 v2</v>
      </c>
      <c r="G252" s="48">
        <f>'Examens accrédités et ajouts'!M265</f>
        <v>0</v>
      </c>
    </row>
    <row r="253" spans="1:7" x14ac:dyDescent="0.2">
      <c r="A253" s="48" t="str">
        <f>'Examens accrédités et ajouts'!A266</f>
        <v>HOPITAL CHARLES NICOLLE CHU ROUEN</v>
      </c>
      <c r="B253" s="48" t="str">
        <f>'Examens accrédités et ajouts'!B266</f>
        <v>Biochimie Métabolique</v>
      </c>
      <c r="C253" s="48" t="str">
        <f>'Examens accrédités et ajouts'!E266</f>
        <v>Activité de l'enzyme lysosomale alpha glucocérébrosidase (ABG)</v>
      </c>
      <c r="D253" s="48" t="str">
        <f>'Examens accrédités et ajouts'!F266</f>
        <v>Sang séché sur papier buvard</v>
      </c>
      <c r="E253" s="182" t="str">
        <f>'Examens accrédités et ajouts'!Q266</f>
        <v>BM BB02 _ A _ FIA avec détection par spectrométrie de masse en tandem (MSMS) _ Quantitatif _ Automatisée _ 2 _ FIA, Injecteur : Qsight HC Autosampler MD et MSMS : PerkinElmer Qsight 225MD</v>
      </c>
      <c r="F253" s="48" t="str">
        <f>'Examens accrédités et ajouts'!L266</f>
        <v>7654 v3</v>
      </c>
      <c r="G253" s="48">
        <f>'Examens accrédités et ajouts'!M266</f>
        <v>0</v>
      </c>
    </row>
    <row r="254" spans="1:7" x14ac:dyDescent="0.2">
      <c r="A254" s="48" t="str">
        <f>'Examens accrédités et ajouts'!A267</f>
        <v>HOPITAL CHARLES NICOLLE CHU ROUEN</v>
      </c>
      <c r="B254" s="48" t="str">
        <f>'Examens accrédités et ajouts'!B267</f>
        <v>Biochimie Métabolique</v>
      </c>
      <c r="C254" s="48" t="str">
        <f>'Examens accrédités et ajouts'!E267</f>
        <v>Activité de l'enzyme lysosomale sphingomyelinase (ASM)</v>
      </c>
      <c r="D254" s="48" t="str">
        <f>'Examens accrédités et ajouts'!F267</f>
        <v>Sang séché sur papier buvard</v>
      </c>
      <c r="E254" s="182" t="str">
        <f>'Examens accrédités et ajouts'!Q267</f>
        <v>BM BB02 _ A _ FIA avec détection par spectrométrie de masse en tandem (MSMS) _ Quantitatif _ Automatisée _ 2 _ FIA, Injecteur : Qsight HC Autosampler MD et MSMS : PerkinElmer Qsight 225MD</v>
      </c>
      <c r="F254" s="48" t="str">
        <f>'Examens accrédités et ajouts'!L267</f>
        <v>7649 v2</v>
      </c>
      <c r="G254" s="48">
        <f>'Examens accrédités et ajouts'!M267</f>
        <v>0</v>
      </c>
    </row>
    <row r="255" spans="1:7" x14ac:dyDescent="0.2">
      <c r="A255" s="48" t="str">
        <f>'Examens accrédités et ajouts'!A268</f>
        <v>HOPITAL CHARLES NICOLLE CHU ROUEN</v>
      </c>
      <c r="B255" s="48" t="str">
        <f>'Examens accrédités et ajouts'!B268</f>
        <v>Biochimie Métabolique</v>
      </c>
      <c r="C255" s="48" t="str">
        <f>'Examens accrédités et ajouts'!E268</f>
        <v>Activité de l'enzyme lysosomale alpha glucosidase (GAA)</v>
      </c>
      <c r="D255" s="48" t="str">
        <f>'Examens accrédités et ajouts'!F268</f>
        <v>Sang séché sur papier buvard</v>
      </c>
      <c r="E255" s="182" t="str">
        <f>'Examens accrédités et ajouts'!Q268</f>
        <v>BM BB02 _ A _ FIA avec détection par spectrométrie de masse en tandem (MSMS) _ Quantitatif _ Automatisée _ 2 _ FIA, Injecteur : Qsight HC Autosampler MD et MSMS : PerkinElmer Qsight 225MD</v>
      </c>
      <c r="F255" s="48" t="str">
        <f>'Examens accrédités et ajouts'!L268</f>
        <v>7648 v2</v>
      </c>
      <c r="G255" s="48">
        <f>'Examens accrédités et ajouts'!M268</f>
        <v>0</v>
      </c>
    </row>
    <row r="256" spans="1:7" x14ac:dyDescent="0.2">
      <c r="A256" s="48" t="str">
        <f>'Examens accrédités et ajouts'!A269</f>
        <v>HOPITAL CHARLES NICOLLE CHU ROUEN</v>
      </c>
      <c r="B256" s="48" t="str">
        <f>'Examens accrédités et ajouts'!B269</f>
        <v>Biochimie Métabolique</v>
      </c>
      <c r="C256" s="48" t="str">
        <f>'Examens accrédités et ajouts'!E269</f>
        <v>Activité de l'enzyme lysosomale beta galactocérébrosidase (GALC)</v>
      </c>
      <c r="D256" s="48" t="str">
        <f>'Examens accrédités et ajouts'!F269</f>
        <v>Sang séché sur papier buvard</v>
      </c>
      <c r="E256" s="182" t="str">
        <f>'Examens accrédités et ajouts'!Q269</f>
        <v>BM BB02 _ A _ FIA avec détection par spectrométrie de masse en tandem (MSMS) _ Quantitatif _ Automatisée _ 2 _ FIA, Injecteur : Qsight HC Autosampler MD et MSMS : PerkinElmer Qsight 225MD</v>
      </c>
      <c r="F256" s="48" t="str">
        <f>'Examens accrédités et ajouts'!L269</f>
        <v>7651 v2</v>
      </c>
      <c r="G256" s="48">
        <f>'Examens accrédités et ajouts'!M269</f>
        <v>0</v>
      </c>
    </row>
    <row r="257" spans="1:7" x14ac:dyDescent="0.2">
      <c r="A257" s="48" t="str">
        <f>'Examens accrédités et ajouts'!A270</f>
        <v>HOPITAL CHARLES NICOLLE CHU ROUEN</v>
      </c>
      <c r="B257" s="48" t="str">
        <f>'Examens accrédités et ajouts'!B270</f>
        <v>Biochimie Métabolique</v>
      </c>
      <c r="C257" s="48" t="str">
        <f>'Examens accrédités et ajouts'!E270</f>
        <v>Activité de l'enzyme lysosomale alpha galactosidase (GLA)</v>
      </c>
      <c r="D257" s="48" t="str">
        <f>'Examens accrédités et ajouts'!F270</f>
        <v>Sang séché sur papier buvard</v>
      </c>
      <c r="E257" s="182" t="str">
        <f>'Examens accrédités et ajouts'!Q270</f>
        <v>BM BB02 _ A _ FIA avec détection par spectrométrie de masse en tandem (MSMS) _ Quantitatif _ Automatisée _ 2 _ FIA, Injecteur : Qsight HC Autosampler MD et MSMS : PerkinElmer Qsight 225MD</v>
      </c>
      <c r="F257" s="48" t="str">
        <f>'Examens accrédités et ajouts'!L270</f>
        <v>7656 v2</v>
      </c>
      <c r="G257" s="48">
        <f>'Examens accrédités et ajouts'!M270</f>
        <v>0</v>
      </c>
    </row>
    <row r="258" spans="1:7" x14ac:dyDescent="0.2">
      <c r="A258" s="48" t="str">
        <f>'Examens accrédités et ajouts'!A271</f>
        <v>HOPITAL CHARLES NICOLLE CHU ROUEN</v>
      </c>
      <c r="B258" s="48" t="str">
        <f>'Examens accrédités et ajouts'!B271</f>
        <v>Biochimie Métabolique</v>
      </c>
      <c r="C258" s="48" t="str">
        <f>'Examens accrédités et ajouts'!E271</f>
        <v>Activité de l'enzyme lysosomale alpha L iduronidase (IDUA)</v>
      </c>
      <c r="D258" s="48" t="str">
        <f>'Examens accrédités et ajouts'!F271</f>
        <v>Sang séché sur papier buvard</v>
      </c>
      <c r="E258" s="182" t="str">
        <f>'Examens accrédités et ajouts'!Q271</f>
        <v>BM BB02 _ A _ FIA avec détection par spectrométrie de masse en tandem (MSMS) _ Quantitatif _ Automatisée _ 2 _ FIA, Injecteur : Qsight HC Autosampler MD et MSMS : PerkinElmer Qsight 225MD</v>
      </c>
      <c r="F258" s="48" t="str">
        <f>'Examens accrédités et ajouts'!L271</f>
        <v>7650 v3</v>
      </c>
      <c r="G258" s="48">
        <f>'Examens accrédités et ajouts'!M271</f>
        <v>0</v>
      </c>
    </row>
    <row r="259" spans="1:7" x14ac:dyDescent="0.2">
      <c r="A259" s="48" t="str">
        <f>'Examens accrédités et ajouts'!A272</f>
        <v>HOPITAL CHARLES NICOLLE CHU ROUEN</v>
      </c>
      <c r="B259" s="48" t="str">
        <f>'Examens accrédités et ajouts'!B272</f>
        <v>Biochimie Métabolique</v>
      </c>
      <c r="C259" s="48" t="str">
        <f>'Examens accrédités et ajouts'!E272</f>
        <v>Lactate plasmatique</v>
      </c>
      <c r="D259" s="48" t="str">
        <f>'Examens accrédités et ajouts'!F272</f>
        <v>Sang</v>
      </c>
      <c r="E259" s="182" t="str">
        <f>'Examens accrédités et ajouts'!Q272</f>
        <v xml:space="preserve">BM BB01 _ A _ Méthode enzymatique  _ Quantitatif _ Semi-automatisée _ 1 _ Cobas C111 </v>
      </c>
      <c r="F259" s="48" t="str">
        <f>'Examens accrédités et ajouts'!L272</f>
        <v>26465 v1</v>
      </c>
      <c r="G259" s="48" t="str">
        <f>'Examens accrédités et ajouts'!M272</f>
        <v>Cadre: Dosage réalisé en parallèle du dosage du pyruvate plasmatique</v>
      </c>
    </row>
    <row r="260" spans="1:7" x14ac:dyDescent="0.2">
      <c r="A260" s="48" t="str">
        <f>'Examens accrédités et ajouts'!A273</f>
        <v>HOPITAL CHARLES NICOLLE CHU ROUEN</v>
      </c>
      <c r="B260" s="48" t="str">
        <f>'Examens accrédités et ajouts'!B273</f>
        <v>Biochimie Métabolique</v>
      </c>
      <c r="C260" s="48" t="str">
        <f>'Examens accrédités et ajouts'!E273</f>
        <v>Pyruvate plasmatique</v>
      </c>
      <c r="D260" s="48" t="str">
        <f>'Examens accrédités et ajouts'!F273</f>
        <v>Sang</v>
      </c>
      <c r="E260" s="182" t="str">
        <f>'Examens accrédités et ajouts'!Q273</f>
        <v xml:space="preserve">BM BB01 _ B _ Méthode enzymatique  _ Quantitatif _ Semi-automatisée _ 1 _ Cobas C111 </v>
      </c>
      <c r="F260" s="48" t="str">
        <f>'Examens accrédités et ajouts'!L273</f>
        <v>26466 v3</v>
      </c>
      <c r="G260" s="48" t="str">
        <f>'Examens accrédités et ajouts'!M273</f>
        <v>Cadre: Dosage réalisé en parallèle du dosage du pyruvate plasmatique</v>
      </c>
    </row>
    <row r="261" spans="1:7" x14ac:dyDescent="0.2">
      <c r="A261" s="48" t="str">
        <f>'Examens accrédités et ajouts'!A274</f>
        <v>HOPITAL CHARLES NICOLLE CHU ROUEN</v>
      </c>
      <c r="B261" s="48" t="str">
        <f>'Examens accrédités et ajouts'!B274</f>
        <v>Biochimie Métabolique</v>
      </c>
      <c r="C261" s="48" t="str">
        <f>'Examens accrédités et ajouts'!E274</f>
        <v>Lipase acide lysosomale</v>
      </c>
      <c r="D261" s="48" t="str">
        <f>'Examens accrédités et ajouts'!F274</f>
        <v>Sang séché sur papier buvard</v>
      </c>
      <c r="E261" s="182" t="str">
        <f>'Examens accrédités et ajouts'!Q274</f>
        <v>BM BB02 _ B _ FIA avec détection par spectrométrie de masse en tandem (MSMS) _ Quantitatif _ Automatisée _ 2 _ FIA, Injecteur : Qsight HC Autosampler MD et MSMS : PerkinElmer Qsight 225MD</v>
      </c>
      <c r="F261" s="48" t="str">
        <f>'Examens accrédités et ajouts'!L274</f>
        <v>30361 V3</v>
      </c>
      <c r="G261" s="48">
        <f>'Examens accrédités et ajouts'!M274</f>
        <v>0</v>
      </c>
    </row>
    <row r="262" spans="1:7" x14ac:dyDescent="0.2">
      <c r="A262" s="48" t="str">
        <f>'Examens accrédités et ajouts'!A275</f>
        <v>HOPITAL CHARLES NICOLLE CHU ROUEN</v>
      </c>
      <c r="B262" s="48" t="str">
        <f>'Examens accrédités et ajouts'!B275</f>
        <v>Biochimie Métabolique</v>
      </c>
      <c r="C262" s="48" t="str">
        <f>'Examens accrédités et ajouts'!E275</f>
        <v>Hexosaminidase A</v>
      </c>
      <c r="D262" s="48" t="str">
        <f>'Examens accrédités et ajouts'!F275</f>
        <v>Sang séché sur papier buvard</v>
      </c>
      <c r="E262" s="182" t="str">
        <f>'Examens accrédités et ajouts'!Q275</f>
        <v>BM BB01 _ B _ Méthode enzymatique avec detection par fluorimétrie _ Quantitatif _ Semi-automatisée _ 1 _ HITACHI F-7000</v>
      </c>
      <c r="F262" s="48" t="str">
        <f>'Examens accrédités et ajouts'!L275</f>
        <v>30362 V2</v>
      </c>
      <c r="G262" s="48">
        <f>'Examens accrédités et ajouts'!M275</f>
        <v>0</v>
      </c>
    </row>
    <row r="263" spans="1:7" x14ac:dyDescent="0.2">
      <c r="A263" s="48" t="str">
        <f>'Examens accrédités et ajouts'!A276</f>
        <v>HOPITAL CHARLES NICOLLE CHU ROUEN</v>
      </c>
      <c r="B263" s="48" t="str">
        <f>'Examens accrédités et ajouts'!B276</f>
        <v>Biochimie Métabolique</v>
      </c>
      <c r="C263" s="48" t="str">
        <f>'Examens accrédités et ajouts'!E276</f>
        <v>Hexosaminidases totales</v>
      </c>
      <c r="D263" s="48" t="str">
        <f>'Examens accrédités et ajouts'!F276</f>
        <v>Sang séché sur papier buvard</v>
      </c>
      <c r="E263" s="182" t="str">
        <f>'Examens accrédités et ajouts'!Q276</f>
        <v>BM BB01 _ B _ Méthode enzymatique avec detection par fluorimétrie _ Quantitatif _ Semi-automatisée _ 1 _ HITACHI F-7000</v>
      </c>
      <c r="F263" s="48" t="str">
        <f>'Examens accrédités et ajouts'!L276</f>
        <v>30363 V1</v>
      </c>
      <c r="G263" s="48">
        <f>'Examens accrédités et ajouts'!M276</f>
        <v>0</v>
      </c>
    </row>
    <row r="264" spans="1:7" x14ac:dyDescent="0.2">
      <c r="A264" s="48" t="str">
        <f>'Examens accrédités et ajouts'!A277</f>
        <v>HOPITAL CHARLES NICOLLE CHU ROUEN</v>
      </c>
      <c r="B264" s="48" t="str">
        <f>'Examens accrédités et ajouts'!B277</f>
        <v>Biochimie Métabolique</v>
      </c>
      <c r="C264" s="48" t="str">
        <f>'Examens accrédités et ajouts'!E277</f>
        <v>Alpha fucosidase sur buvard</v>
      </c>
      <c r="D264" s="48" t="str">
        <f>'Examens accrédités et ajouts'!F277</f>
        <v>Sang séché sur papier buvard</v>
      </c>
      <c r="E264" s="182" t="str">
        <f>'Examens accrédités et ajouts'!Q277</f>
        <v>BM BB01 _ B _ Méthode enzymatique avec detection par fluorimétrie _ Quantitatif _ Semi-automatisée _ 1 _ HITACHI F-7000</v>
      </c>
      <c r="F264" s="48" t="str">
        <f>'Examens accrédités et ajouts'!L277</f>
        <v>32169 v1</v>
      </c>
      <c r="G264" s="48">
        <f>'Examens accrédités et ajouts'!M277</f>
        <v>0</v>
      </c>
    </row>
    <row r="265" spans="1:7" x14ac:dyDescent="0.2">
      <c r="A265" s="48" t="str">
        <f>'Examens accrédités et ajouts'!A278</f>
        <v>HOPITAL CHARLES NICOLLE CHU ROUEN</v>
      </c>
      <c r="B265" s="48" t="str">
        <f>'Examens accrédités et ajouts'!B278</f>
        <v>Biochimie Métabolique</v>
      </c>
      <c r="C265" s="48" t="str">
        <f>'Examens accrédités et ajouts'!E278</f>
        <v>Alpha mannosidase sur buvard</v>
      </c>
      <c r="D265" s="48" t="str">
        <f>'Examens accrédités et ajouts'!F278</f>
        <v>Sang séché sur papier buvard</v>
      </c>
      <c r="E265" s="182" t="str">
        <f>'Examens accrédités et ajouts'!Q278</f>
        <v>BM BB01 _ B _ Méthode enzymatique avec detection par fluorimétrie _ Quantitatif _ Semi-automatisée _ 1 _ HITACHI F-7000</v>
      </c>
      <c r="F265" s="48" t="str">
        <f>'Examens accrédités et ajouts'!L278</f>
        <v>32170 v1</v>
      </c>
      <c r="G265" s="48">
        <f>'Examens accrédités et ajouts'!M278</f>
        <v>0</v>
      </c>
    </row>
    <row r="266" spans="1:7" x14ac:dyDescent="0.2">
      <c r="A266" s="48" t="str">
        <f>'Examens accrédités et ajouts'!A279</f>
        <v>HOPITAL CHARLES NICOLLE CHU ROUEN</v>
      </c>
      <c r="B266" s="48" t="str">
        <f>'Examens accrédités et ajouts'!B279</f>
        <v>Biochimie Métabolique</v>
      </c>
      <c r="C266" s="48" t="str">
        <f>'Examens accrédités et ajouts'!E279</f>
        <v>Beta mannosidase sur buvard</v>
      </c>
      <c r="D266" s="48" t="str">
        <f>'Examens accrédités et ajouts'!F279</f>
        <v>Sang séché sur papier buvard</v>
      </c>
      <c r="E266" s="182" t="str">
        <f>'Examens accrédités et ajouts'!Q279</f>
        <v>BM BB01 _ B _ Méthode enzymatique avec detection par fluorimétrie _ Quantitatif _ Semi-automatisée _ 1 _ HITACHI F-7000</v>
      </c>
      <c r="F266" s="48" t="str">
        <f>'Examens accrédités et ajouts'!L279</f>
        <v>32171 v1</v>
      </c>
      <c r="G266" s="48">
        <f>'Examens accrédités et ajouts'!M279</f>
        <v>0</v>
      </c>
    </row>
    <row r="267" spans="1:7" x14ac:dyDescent="0.2">
      <c r="A267" s="48" t="str">
        <f>'Examens accrédités et ajouts'!A280</f>
        <v>HOPITAL CHARLES NICOLLE CHU ROUEN</v>
      </c>
      <c r="B267" s="48" t="str">
        <f>'Examens accrédités et ajouts'!B280</f>
        <v>Biochimie Métabolique</v>
      </c>
      <c r="C267" s="48" t="str">
        <f>'Examens accrédités et ajouts'!E280</f>
        <v>Séquencage Sanger de l'exon 1 de HGSNAT</v>
      </c>
      <c r="D267" s="48" t="str">
        <f>'Examens accrédités et ajouts'!F280</f>
        <v>Sang / ADN extrait de sang</v>
      </c>
      <c r="E267" s="182" t="str">
        <f>'Examens accrédités et ajouts'!Q280</f>
        <v xml:space="preserve">BM GC04 _ B _ Séquançage Sanger _ Qualitatif _ Semi-automatisée _ 1 _ Séquenceur ABS3500 </v>
      </c>
      <c r="F267" s="48" t="str">
        <f>'Examens accrédités et ajouts'!L280</f>
        <v>38469 v1</v>
      </c>
      <c r="G267" s="48">
        <f>'Examens accrédités et ajouts'!M280</f>
        <v>0</v>
      </c>
    </row>
    <row r="268" spans="1:7" x14ac:dyDescent="0.2">
      <c r="A268" s="48" t="str">
        <f>'Examens accrédités et ajouts'!A281</f>
        <v>HOPITAL CHARLES NICOLLE CHU ROUEN</v>
      </c>
      <c r="B268" s="48" t="str">
        <f>'Examens accrédités et ajouts'!B281</f>
        <v>Biochimie Métabolique</v>
      </c>
      <c r="C268" s="48" t="str">
        <f>'Examens accrédités et ajouts'!E281</f>
        <v>Exome Métabolique (Gènes associés aux Maladies Héréditaires du Métabolisme)</v>
      </c>
      <c r="D268" s="48" t="str">
        <f>'Examens accrédités et ajouts'!F281</f>
        <v>ADN</v>
      </c>
      <c r="E268" s="182" t="str">
        <f>'Examens accrédités et ajouts'!Q281</f>
        <v>BM GC07 _ B _ Enrichissement par capture XT-HS-UMI (Agilent) et séquençage NGS par Novaseq (Illumina) _ Qualitatif _ Automatisée _ 1 _ Magnis et NovaSeq</v>
      </c>
      <c r="F268" s="48" t="str">
        <f>'Examens accrédités et ajouts'!L281</f>
        <v>43392 v1</v>
      </c>
      <c r="G268" s="48" t="str">
        <f>'Examens accrédités et ajouts'!M281</f>
        <v>changement de méthode depuis 19/08/25</v>
      </c>
    </row>
    <row r="269" spans="1:7" hidden="1" x14ac:dyDescent="0.2">
      <c r="A269" s="48" t="str">
        <f>'Examens accrédités et ajouts'!A282</f>
        <v>HOPITAL CHARLES NICOLLE CHU ROUEN</v>
      </c>
      <c r="B269" s="48" t="str">
        <f>'Examens accrédités et ajouts'!B282</f>
        <v>Biologie de la Reproduction</v>
      </c>
      <c r="C269" s="48" t="str">
        <f>'Examens accrédités et ajouts'!E282</f>
        <v>Volume du sperme</v>
      </c>
      <c r="D269" s="48" t="str">
        <f>'Examens accrédités et ajouts'!F282</f>
        <v>Spermes</v>
      </c>
      <c r="E269" s="182" t="str">
        <f>'Examens accrédités et ajouts'!Q282</f>
        <v xml:space="preserve">BM SP01 _ A _ Pesée du sperme _ Quantitatif _ Manuelle _  _ </v>
      </c>
      <c r="F269" s="48" t="str">
        <f>'Examens accrédités et ajouts'!L282</f>
        <v>14892 v3</v>
      </c>
      <c r="G269" s="48">
        <f>'Examens accrédités et ajouts'!M282</f>
        <v>0</v>
      </c>
    </row>
    <row r="270" spans="1:7" hidden="1" x14ac:dyDescent="0.2">
      <c r="A270" s="48" t="str">
        <f>'Examens accrédités et ajouts'!A283</f>
        <v>HOPITAL CHARLES NICOLLE CHU ROUEN</v>
      </c>
      <c r="B270" s="48" t="str">
        <f>'Examens accrédités et ajouts'!B283</f>
        <v>Biologie de la Reproduction</v>
      </c>
      <c r="C270" s="48" t="str">
        <f>'Examens accrédités et ajouts'!E283</f>
        <v>Numération des spermatozoïdes et des cellules rondes</v>
      </c>
      <c r="D270" s="48" t="str">
        <f>'Examens accrédités et ajouts'!F283</f>
        <v>Spermes</v>
      </c>
      <c r="E270" s="182" t="str">
        <f>'Examens accrédités et ajouts'!Q283</f>
        <v xml:space="preserve">BM SP01 _ A _ Comptage après dépôt sur une cellule de type hémocytomètre _ Quantitatif _ Manuelle _  _ </v>
      </c>
      <c r="F270" s="48" t="str">
        <f>'Examens accrédités et ajouts'!L283</f>
        <v>14891 v3</v>
      </c>
      <c r="G270" s="48">
        <f>'Examens accrédités et ajouts'!M283</f>
        <v>0</v>
      </c>
    </row>
    <row r="271" spans="1:7" hidden="1" x14ac:dyDescent="0.2">
      <c r="A271" s="48" t="str">
        <f>'Examens accrédités et ajouts'!A284</f>
        <v>HOPITAL CHARLES NICOLLE CHU ROUEN</v>
      </c>
      <c r="B271" s="48" t="str">
        <f>'Examens accrédités et ajouts'!B284</f>
        <v>Biologie de la Reproduction</v>
      </c>
      <c r="C271" s="48" t="str">
        <f>'Examens accrédités et ajouts'!E284</f>
        <v>Mobilité des spermatozoïdes</v>
      </c>
      <c r="D271" s="48" t="str">
        <f>'Examens accrédités et ajouts'!F284</f>
        <v>Spermes</v>
      </c>
      <c r="E271" s="182" t="str">
        <f>'Examens accrédités et ajouts'!Q284</f>
        <v xml:space="preserve">BM SP01 _ A _ Observation et évaluation qualitative au microscope _ Qualitatif _ Manuelle _  _ </v>
      </c>
      <c r="F271" s="48" t="str">
        <f>'Examens accrédités et ajouts'!L284</f>
        <v>14864 v3</v>
      </c>
      <c r="G271" s="48">
        <f>'Examens accrédités et ajouts'!M284</f>
        <v>0</v>
      </c>
    </row>
    <row r="272" spans="1:7" hidden="1" x14ac:dyDescent="0.2">
      <c r="A272" s="48" t="str">
        <f>'Examens accrédités et ajouts'!A285</f>
        <v>HOPITAL CHARLES NICOLLE CHU ROUEN</v>
      </c>
      <c r="B272" s="48" t="str">
        <f>'Examens accrédités et ajouts'!B285</f>
        <v>Biologie de la Reproduction</v>
      </c>
      <c r="C272" s="48" t="str">
        <f>'Examens accrédités et ajouts'!E285</f>
        <v>pH du sperme</v>
      </c>
      <c r="D272" s="48" t="str">
        <f>'Examens accrédités et ajouts'!F285</f>
        <v>Spermes</v>
      </c>
      <c r="E272" s="182" t="str">
        <f>'Examens accrédités et ajouts'!Q285</f>
        <v xml:space="preserve">BM SP01 _ A _ Evaluation qualitative à partir du papier pH _ Qualitatif _ Manuelle _  _ </v>
      </c>
      <c r="F272" s="48" t="str">
        <f>'Examens accrédités et ajouts'!L285</f>
        <v>14545 v3</v>
      </c>
      <c r="G272" s="48">
        <f>'Examens accrédités et ajouts'!M285</f>
        <v>0</v>
      </c>
    </row>
    <row r="273" spans="1:7" hidden="1" x14ac:dyDescent="0.2">
      <c r="A273" s="48" t="str">
        <f>'Examens accrédités et ajouts'!A286</f>
        <v>HOPITAL CHARLES NICOLLE CHU ROUEN</v>
      </c>
      <c r="B273" s="48" t="str">
        <f>'Examens accrédités et ajouts'!B286</f>
        <v>Biologie de la Reproduction</v>
      </c>
      <c r="C273" s="48" t="str">
        <f>'Examens accrédités et ajouts'!E286</f>
        <v>Viscosité du sperme</v>
      </c>
      <c r="D273" s="48" t="str">
        <f>'Examens accrédités et ajouts'!F286</f>
        <v>Spermes</v>
      </c>
      <c r="E273" s="182" t="str">
        <f>'Examens accrédités et ajouts'!Q286</f>
        <v xml:space="preserve">BM SP01 _ A _ Observation de l’écoulement du sperme au bout d’une pipette _ Qualitatif _ Manuelle _  _ </v>
      </c>
      <c r="F273" s="48" t="str">
        <f>'Examens accrédités et ajouts'!L286</f>
        <v>14508 v3</v>
      </c>
      <c r="G273" s="48">
        <f>'Examens accrédités et ajouts'!M286</f>
        <v>0</v>
      </c>
    </row>
    <row r="274" spans="1:7" hidden="1" x14ac:dyDescent="0.2">
      <c r="A274" s="48" t="str">
        <f>'Examens accrédités et ajouts'!A287</f>
        <v>HOPITAL CHARLES NICOLLE CHU ROUEN</v>
      </c>
      <c r="B274" s="48" t="str">
        <f>'Examens accrédités et ajouts'!B287</f>
        <v>Biologie de la Reproduction</v>
      </c>
      <c r="C274" s="48" t="str">
        <f>'Examens accrédités et ajouts'!E287</f>
        <v>Agglutination des spermatozoïdes</v>
      </c>
      <c r="D274" s="48" t="str">
        <f>'Examens accrédités et ajouts'!F287</f>
        <v>Spermes</v>
      </c>
      <c r="E274" s="182" t="str">
        <f>'Examens accrédités et ajouts'!Q287</f>
        <v xml:space="preserve">BM SP01 _ A _ Evaluation qualitative au microscope _ Qualitatif _ Manuelle _  _ </v>
      </c>
      <c r="F274" s="48" t="str">
        <f>'Examens accrédités et ajouts'!L287</f>
        <v>14511 v3</v>
      </c>
      <c r="G274" s="48">
        <f>'Examens accrédités et ajouts'!M287</f>
        <v>0</v>
      </c>
    </row>
    <row r="275" spans="1:7" hidden="1" x14ac:dyDescent="0.2">
      <c r="A275" s="48" t="str">
        <f>'Examens accrédités et ajouts'!A288</f>
        <v>HOPITAL CHARLES NICOLLE CHU ROUEN</v>
      </c>
      <c r="B275" s="48" t="str">
        <f>'Examens accrédités et ajouts'!B288</f>
        <v>Biologie de la Reproduction</v>
      </c>
      <c r="C275" s="48" t="str">
        <f>'Examens accrédités et ajouts'!E288</f>
        <v>Leucospermie</v>
      </c>
      <c r="D275" s="48" t="str">
        <f>'Examens accrédités et ajouts'!F288</f>
        <v>Spermes</v>
      </c>
      <c r="E275" s="182" t="str">
        <f>'Examens accrédités et ajouts'!Q288</f>
        <v xml:space="preserve">BM SP01 _ A _ Evaluation qualitative au microscope en présence d’un colorant vital _ Qualitatif _ Manuelle _  _ </v>
      </c>
      <c r="F275" s="48" t="str">
        <f>'Examens accrédités et ajouts'!L288</f>
        <v>14823 v3</v>
      </c>
      <c r="G275" s="48">
        <f>'Examens accrédités et ajouts'!M288</f>
        <v>0</v>
      </c>
    </row>
    <row r="276" spans="1:7" hidden="1" x14ac:dyDescent="0.2">
      <c r="A276" s="48" t="str">
        <f>'Examens accrédités et ajouts'!A289</f>
        <v>HOPITAL CHARLES NICOLLE CHU ROUEN</v>
      </c>
      <c r="B276" s="48" t="str">
        <f>'Examens accrédités et ajouts'!B289</f>
        <v>Biologie de la Reproduction</v>
      </c>
      <c r="C276" s="48" t="str">
        <f>'Examens accrédités et ajouts'!E289</f>
        <v>Recherche et identification des spermatozoïdes après traitement (Numération et Mobilité des spermatozoïdes après traitement)</v>
      </c>
      <c r="D276" s="48" t="str">
        <f>'Examens accrédités et ajouts'!F289</f>
        <v>Spermes</v>
      </c>
      <c r="E276" s="182" t="str">
        <f>'Examens accrédités et ajouts'!Q289</f>
        <v xml:space="preserve">BM SP01 _ A _ Comptage après dépôt sur une cellule de type hémocytomètre /
Observation et évaluation qualitative au microscope
 _ Quantitatif et Qualitatif _ Manuelle _  _ </v>
      </c>
      <c r="F276" s="48" t="str">
        <f>'Examens accrédités et ajouts'!L289</f>
        <v>16822 v3</v>
      </c>
      <c r="G276" s="48">
        <f>'Examens accrédités et ajouts'!M289</f>
        <v>0</v>
      </c>
    </row>
    <row r="277" spans="1:7" hidden="1" x14ac:dyDescent="0.2">
      <c r="A277" s="48" t="str">
        <f>'Examens accrédités et ajouts'!A290</f>
        <v>HOPITAL CHARLES NICOLLE CHU ROUEN</v>
      </c>
      <c r="B277" s="48" t="str">
        <f>'Examens accrédités et ajouts'!B290</f>
        <v>Biologie de la Reproduction</v>
      </c>
      <c r="C277" s="48" t="str">
        <f>'Examens accrédités et ajouts'!E290</f>
        <v>Vitalité des spermatozoïdes</v>
      </c>
      <c r="D277" s="48" t="str">
        <f>'Examens accrédités et ajouts'!F290</f>
        <v>Spermes</v>
      </c>
      <c r="E277" s="182" t="str">
        <f>'Examens accrédités et ajouts'!Q290</f>
        <v xml:space="preserve">BM SP03 _ A _ Comptage après confection du frottis de spermatozoïdes colorés _ Quantitatif _ Manuelle _  _ </v>
      </c>
      <c r="F277" s="48" t="str">
        <f>'Examens accrédités et ajouts'!L290</f>
        <v>14594 v3</v>
      </c>
      <c r="G277" s="48">
        <f>'Examens accrédités et ajouts'!M290</f>
        <v>0</v>
      </c>
    </row>
    <row r="278" spans="1:7" hidden="1" x14ac:dyDescent="0.2">
      <c r="A278" s="48" t="str">
        <f>'Examens accrédités et ajouts'!A291</f>
        <v>HOPITAL CHARLES NICOLLE CHU ROUEN</v>
      </c>
      <c r="B278" s="48" t="str">
        <f>'Examens accrédités et ajouts'!B291</f>
        <v>Biologie de la Reproduction</v>
      </c>
      <c r="C278" s="48" t="str">
        <f>'Examens accrédités et ajouts'!E291</f>
        <v>Spermocytogramme</v>
      </c>
      <c r="D278" s="48" t="str">
        <f>'Examens accrédités et ajouts'!F291</f>
        <v>Spermes</v>
      </c>
      <c r="E278" s="182" t="str">
        <f>'Examens accrédités et ajouts'!Q291</f>
        <v xml:space="preserve">BM SP03 _ A _ Observation et description des anomalies morphologiques du spermatozoïdes sur frottis après coloration _ Quantitatif _ Manuelle _  _ </v>
      </c>
      <c r="F278" s="48" t="str">
        <f>'Examens accrédités et ajouts'!L291</f>
        <v>16824 v3</v>
      </c>
      <c r="G278" s="48">
        <f>'Examens accrédités et ajouts'!M291</f>
        <v>0</v>
      </c>
    </row>
    <row r="279" spans="1:7" hidden="1" x14ac:dyDescent="0.2">
      <c r="A279" s="48" t="str">
        <f>'Examens accrédités et ajouts'!A292</f>
        <v>HOPITAL CHARLES NICOLLE CHU ROUEN</v>
      </c>
      <c r="B279" s="48" t="str">
        <f>'Examens accrédités et ajouts'!B292</f>
        <v>Biologie de la Reproduction</v>
      </c>
      <c r="C279" s="48" t="str">
        <f>'Examens accrédités et ajouts'!E292</f>
        <v>Etude de la qualité nucléaire du spermatozoïde : MSOME</v>
      </c>
      <c r="D279" s="48" t="str">
        <f>'Examens accrédités et ajouts'!F292</f>
        <v>Spermes</v>
      </c>
      <c r="E279" s="182" t="str">
        <f>'Examens accrédités et ajouts'!Q292</f>
        <v xml:space="preserve">BM SP03 _ A _ Observation et mesure des vacuoles sur la tête des spermatozoïdes mobiles _ Quantitatif _ Manuelle _  _ </v>
      </c>
      <c r="F279" s="48" t="str">
        <f>'Examens accrédités et ajouts'!L292</f>
        <v>16823 v3</v>
      </c>
      <c r="G279" s="48">
        <f>'Examens accrédités et ajouts'!M292</f>
        <v>0</v>
      </c>
    </row>
    <row r="280" spans="1:7" hidden="1" x14ac:dyDescent="0.2">
      <c r="A280" s="48" t="str">
        <f>'Examens accrédités et ajouts'!A293</f>
        <v>HOPITAL CHARLES NICOLLE CHU ROUEN</v>
      </c>
      <c r="B280" s="48" t="str">
        <f>'Examens accrédités et ajouts'!B293</f>
        <v>Biologie de la Reproduction</v>
      </c>
      <c r="C280" s="48" t="str">
        <f>'Examens accrédités et ajouts'!E293</f>
        <v>Etude de la qualité nucléaire du spermatozoïde : Condensation de la chromatine</v>
      </c>
      <c r="D280" s="48" t="str">
        <f>'Examens accrédités et ajouts'!F293</f>
        <v>Spermes</v>
      </c>
      <c r="E280" s="182" t="str">
        <f>'Examens accrédités et ajouts'!Q293</f>
        <v xml:space="preserve">BM SP05 _ A _ Comptage après confection du frottis de spermatozoïdes colorés _ Quantitatif _ Manuelle _  _ </v>
      </c>
      <c r="F280" s="48" t="str">
        <f>'Examens accrédités et ajouts'!L293</f>
        <v>16825 v3</v>
      </c>
      <c r="G280" s="48">
        <f>'Examens accrédités et ajouts'!M293</f>
        <v>0</v>
      </c>
    </row>
    <row r="281" spans="1:7" hidden="1" x14ac:dyDescent="0.2">
      <c r="A281" s="48" t="str">
        <f>'Examens accrédités et ajouts'!A294</f>
        <v>HOPITAL CHARLES NICOLLE CHU ROUEN</v>
      </c>
      <c r="B281" s="48" t="str">
        <f>'Examens accrédités et ajouts'!B294</f>
        <v>Biologie de la Reproduction</v>
      </c>
      <c r="C281" s="48" t="str">
        <f>'Examens accrédités et ajouts'!E294</f>
        <v>Recherche des anticorps anti-spermatozoïdes</v>
      </c>
      <c r="D281" s="48" t="str">
        <f>'Examens accrédités et ajouts'!F294</f>
        <v>Spermes</v>
      </c>
      <c r="E281" s="182" t="str">
        <f>'Examens accrédités et ajouts'!Q294</f>
        <v xml:space="preserve">BM SP07 _ A _ pesée du sperme _ Qualitatif _ Manuelle _  _ </v>
      </c>
      <c r="F281" s="48" t="str">
        <f>'Examens accrédités et ajouts'!L294</f>
        <v>16826 v3</v>
      </c>
      <c r="G281" s="48">
        <f>'Examens accrédités et ajouts'!M294</f>
        <v>0</v>
      </c>
    </row>
    <row r="282" spans="1:7" hidden="1" x14ac:dyDescent="0.2">
      <c r="A282" s="48" t="str">
        <f>'Examens accrédités et ajouts'!A295</f>
        <v>HOPITAL CHARLES NICOLLE CHU ROUEN</v>
      </c>
      <c r="B282" s="48" t="str">
        <f>'Examens accrédités et ajouts'!B295</f>
        <v>Cytogénétique</v>
      </c>
      <c r="C282" s="48" t="str">
        <f>'Examens accrédités et ajouts'!E295</f>
        <v>Recherche d'anomalies chromosomiques de nombre ou de structure</v>
      </c>
      <c r="D282" s="48" t="str">
        <f>'Examens accrédités et ajouts'!F295</f>
        <v>Sang</v>
      </c>
      <c r="E282" s="182" t="str">
        <f>'Examens accrédités et ajouts'!Q295</f>
        <v xml:space="preserve">BM GC01 _ B _ Culture, colorimétrie et microscopie ("banding") _ Qualitatif _ Manuelle _  _ </v>
      </c>
      <c r="F282" s="48" t="str">
        <f>'Examens accrédités et ajouts'!L295</f>
        <v>10238 v4</v>
      </c>
      <c r="G282" s="48">
        <f>'Examens accrédités et ajouts'!M295</f>
        <v>0</v>
      </c>
    </row>
    <row r="283" spans="1:7" hidden="1" x14ac:dyDescent="0.2">
      <c r="A283" s="48" t="str">
        <f>'Examens accrédités et ajouts'!A296</f>
        <v>HOPITAL CHARLES NICOLLE CHU ROUEN</v>
      </c>
      <c r="B283" s="48" t="str">
        <f>'Examens accrédités et ajouts'!B296</f>
        <v>Cytogénétique</v>
      </c>
      <c r="C283" s="48" t="str">
        <f>'Examens accrédités et ajouts'!E296</f>
        <v>FISH sur sang</v>
      </c>
      <c r="D283" s="48" t="str">
        <f>'Examens accrédités et ajouts'!F296</f>
        <v>Sang</v>
      </c>
      <c r="E283" s="182" t="str">
        <f>'Examens accrédités et ajouts'!Q296</f>
        <v xml:space="preserve">BM GC02 _ B _ Hybridation moléculaire fluorescente in situ ("FISH rapide") interphasique et/ou métaphasique mono- ou multi-sonde, et microscopie, sur préparation nucléaire  _ Qualitatif
/quantitatif _ Manuelle _  _ </v>
      </c>
      <c r="F283" s="48" t="str">
        <f>'Examens accrédités et ajouts'!L296</f>
        <v>30411 v2</v>
      </c>
      <c r="G283" s="48">
        <f>'Examens accrédités et ajouts'!M296</f>
        <v>0</v>
      </c>
    </row>
    <row r="284" spans="1:7" hidden="1" x14ac:dyDescent="0.2">
      <c r="A284" s="48" t="str">
        <f>'Examens accrédités et ajouts'!A297</f>
        <v>HOPITAL CHARLES NICOLLE CHU ROUEN</v>
      </c>
      <c r="B284" s="48" t="str">
        <f>'Examens accrédités et ajouts'!B297</f>
        <v>Cytogénétique</v>
      </c>
      <c r="C284" s="48" t="str">
        <f>'Examens accrédités et ajouts'!E297</f>
        <v>FISH sur liquide amniotique</v>
      </c>
      <c r="D284" s="48" t="str">
        <f>'Examens accrédités et ajouts'!F297</f>
        <v>Liquide Amniotique</v>
      </c>
      <c r="E284" s="182" t="str">
        <f>'Examens accrédités et ajouts'!Q297</f>
        <v xml:space="preserve">BM GC02 _ B _ Hybridation moléculaire fluorescente in situ ("FISH rapide") interphasique et/ou métaphasique mono- ou multi-sonde, et microscopie, sur préparation nucléaire  _ Qualitatif
/quantitatif _ Manuelle _  _ </v>
      </c>
      <c r="F284" s="48" t="str">
        <f>'Examens accrédités et ajouts'!L297</f>
        <v>30411 v2</v>
      </c>
      <c r="G284" s="48">
        <f>'Examens accrédités et ajouts'!M297</f>
        <v>0</v>
      </c>
    </row>
    <row r="285" spans="1:7" hidden="1" x14ac:dyDescent="0.2">
      <c r="A285" s="48" t="str">
        <f>'Examens accrédités et ajouts'!A298</f>
        <v>HOPITAL CHARLES NICOLLE CHU ROUEN</v>
      </c>
      <c r="B285" s="48" t="str">
        <f>'Examens accrédités et ajouts'!B298</f>
        <v>Cytogénétique</v>
      </c>
      <c r="C285" s="48" t="str">
        <f>'Examens accrédités et ajouts'!E298</f>
        <v>FISH sur villosités choriales</v>
      </c>
      <c r="D285" s="48" t="str">
        <f>'Examens accrédités et ajouts'!F298</f>
        <v>Villosités choriales</v>
      </c>
      <c r="E285" s="182" t="str">
        <f>'Examens accrédités et ajouts'!Q298</f>
        <v xml:space="preserve">BM GC02 _ B _ Hybridation moléculaire fluorescente in situ ("FISH rapide") interphasique et/ou métaphasique mono- ou multi-sonde, et microscopie, sur préparation nucléaire  _ Qualitatif
/quantitatif _ Manuelle _  _ </v>
      </c>
      <c r="F285" s="48" t="str">
        <f>'Examens accrédités et ajouts'!L298</f>
        <v>30411 v2</v>
      </c>
      <c r="G285" s="48">
        <f>'Examens accrédités et ajouts'!M298</f>
        <v>0</v>
      </c>
    </row>
    <row r="286" spans="1:7" hidden="1" x14ac:dyDescent="0.2">
      <c r="A286" s="48" t="str">
        <f>'Examens accrédités et ajouts'!A299</f>
        <v>HOPITAL CHARLES NICOLLE CHU ROUEN</v>
      </c>
      <c r="B286" s="48" t="str">
        <f>'Examens accrédités et ajouts'!B299</f>
        <v>Cytogénétique</v>
      </c>
      <c r="C286" s="48" t="str">
        <f>'Examens accrédités et ajouts'!E299</f>
        <v>FISH sur autre tissus</v>
      </c>
      <c r="D286" s="48" t="str">
        <f>'Examens accrédités et ajouts'!F299</f>
        <v>placenta
Fibroblastes
Autres tissus</v>
      </c>
      <c r="E286" s="182" t="str">
        <f>'Examens accrédités et ajouts'!Q299</f>
        <v xml:space="preserve">BM GC02 _ B _ Hybridation moléculaire fluorescente in situ ("FISH rapide") interphasique et/ou métaphasique mono- ou multi-sonde, et microscopie, sur préparation nucléaire  _ Qualitatif
/quantitatif _ Manuelle _  _ </v>
      </c>
      <c r="F286" s="48" t="str">
        <f>'Examens accrédités et ajouts'!L299</f>
        <v>30411 v2</v>
      </c>
      <c r="G286" s="48">
        <f>'Examens accrédités et ajouts'!M299</f>
        <v>0</v>
      </c>
    </row>
    <row r="287" spans="1:7" hidden="1" x14ac:dyDescent="0.2">
      <c r="A287" s="48" t="str">
        <f>'Examens accrédités et ajouts'!A300</f>
        <v>HOPITAL CHARLES NICOLLE CHU ROUEN</v>
      </c>
      <c r="B287" s="48" t="str">
        <f>'Examens accrédités et ajouts'!B300</f>
        <v>Cytogénétique</v>
      </c>
      <c r="C287" s="48" t="str">
        <f>'Examens accrédités et ajouts'!E300</f>
        <v>CGH array sur Sang</v>
      </c>
      <c r="D287" s="48" t="str">
        <f>'Examens accrédités et ajouts'!F300</f>
        <v>Sang</v>
      </c>
      <c r="E287" s="182" t="str">
        <f>'Examens accrédités et ajouts'!Q300</f>
        <v xml:space="preserve">BM GC03 _ B _ Extraction, purification d'acides nucléiques - - Hybridation moléculaire ("puce à ADN", CGH array) _ Qualitatif _ Manuelle _  _ </v>
      </c>
      <c r="F287" s="48" t="str">
        <f>'Examens accrédités et ajouts'!L300</f>
        <v>27315 v1</v>
      </c>
      <c r="G287" s="48">
        <f>'Examens accrédités et ajouts'!M300</f>
        <v>0</v>
      </c>
    </row>
    <row r="288" spans="1:7" hidden="1" x14ac:dyDescent="0.2">
      <c r="A288" s="48" t="str">
        <f>'Examens accrédités et ajouts'!A301</f>
        <v>HOPITAL CHARLES NICOLLE CHU ROUEN</v>
      </c>
      <c r="B288" s="48" t="str">
        <f>'Examens accrédités et ajouts'!B301</f>
        <v>Cytogénétique</v>
      </c>
      <c r="C288" s="48" t="str">
        <f>'Examens accrédités et ajouts'!E301</f>
        <v>CGH array sur Liquide Amniotique</v>
      </c>
      <c r="D288" s="48" t="str">
        <f>'Examens accrédités et ajouts'!F301</f>
        <v>Liquide Amniotique</v>
      </c>
      <c r="E288" s="182" t="str">
        <f>'Examens accrédités et ajouts'!Q301</f>
        <v xml:space="preserve">BM GC03 _ B _ Culture cellulaire éventuelle, extraction, purification d'acides nucléiques - - Hybridation moléculaire ("puce à ADN", CGH array) _ Qualitatif _ Manuelle _  _ </v>
      </c>
      <c r="F288" s="48" t="str">
        <f>'Examens accrédités et ajouts'!L301</f>
        <v>27315 v1</v>
      </c>
      <c r="G288" s="48">
        <f>'Examens accrédités et ajouts'!M301</f>
        <v>0</v>
      </c>
    </row>
    <row r="289" spans="1:7" hidden="1" x14ac:dyDescent="0.2">
      <c r="A289" s="48" t="str">
        <f>'Examens accrédités et ajouts'!A302</f>
        <v>HOPITAL CHARLES NICOLLE CHU ROUEN</v>
      </c>
      <c r="B289" s="48" t="str">
        <f>'Examens accrédités et ajouts'!B302</f>
        <v>Cytogénétique</v>
      </c>
      <c r="C289" s="48" t="str">
        <f>'Examens accrédités et ajouts'!E302</f>
        <v>CGH array sur Placenta</v>
      </c>
      <c r="D289" s="48" t="str">
        <f>'Examens accrédités et ajouts'!F302</f>
        <v>Placenta</v>
      </c>
      <c r="E289" s="182" t="str">
        <f>'Examens accrédités et ajouts'!Q302</f>
        <v xml:space="preserve">BM GC03 _ B _ Culture cellulaire éventuelle, extraction, purification d'acides nucléiques - - Hybridation moléculaire ("puce à ADN", CGH array) _ Qualitatif _ Manuelle _  _ </v>
      </c>
      <c r="F289" s="48" t="str">
        <f>'Examens accrédités et ajouts'!L302</f>
        <v>27315 v1</v>
      </c>
      <c r="G289" s="48">
        <f>'Examens accrédités et ajouts'!M302</f>
        <v>0</v>
      </c>
    </row>
    <row r="290" spans="1:7" hidden="1" x14ac:dyDescent="0.2">
      <c r="A290" s="48" t="str">
        <f>'Examens accrédités et ajouts'!A303</f>
        <v>HOPITAL CHARLES NICOLLE CHU ROUEN</v>
      </c>
      <c r="B290" s="48" t="str">
        <f>'Examens accrédités et ajouts'!B303</f>
        <v>Cytogénétique</v>
      </c>
      <c r="C290" s="48" t="str">
        <f>'Examens accrédités et ajouts'!E303</f>
        <v>CGH array sur Villosités Choriales (Trophoblastes)</v>
      </c>
      <c r="D290" s="48" t="str">
        <f>'Examens accrédités et ajouts'!F303</f>
        <v>Villosités choriales</v>
      </c>
      <c r="E290" s="182" t="str">
        <f>'Examens accrédités et ajouts'!Q303</f>
        <v xml:space="preserve">BM GC03 _ B _ Culture cellulaire éventuelle, extraction, purification d'acides nucléiques - - Hybridation moléculaire ("puce à ADN", CGH array) _ Qualitatif _ Manuelle _  _ </v>
      </c>
      <c r="F290" s="48" t="str">
        <f>'Examens accrédités et ajouts'!L303</f>
        <v>27315 v1</v>
      </c>
      <c r="G290" s="48">
        <f>'Examens accrédités et ajouts'!M303</f>
        <v>0</v>
      </c>
    </row>
    <row r="291" spans="1:7" hidden="1" x14ac:dyDescent="0.2">
      <c r="A291" s="48" t="str">
        <f>'Examens accrédités et ajouts'!A304</f>
        <v>HOPITAL CHARLES NICOLLE CHU ROUEN</v>
      </c>
      <c r="B291" s="48" t="str">
        <f>'Examens accrédités et ajouts'!B304</f>
        <v>Cytogénétique</v>
      </c>
      <c r="C291" s="48" t="str">
        <f>'Examens accrédités et ajouts'!E304</f>
        <v>DPNI</v>
      </c>
      <c r="D291" s="48" t="str">
        <f>'Examens accrédités et ajouts'!F304</f>
        <v>Sang</v>
      </c>
      <c r="E291" s="182" t="str">
        <f>'Examens accrédités et ajouts'!Q304</f>
        <v xml:space="preserve">BM GC07 _ A _ Culture cellulaire éventuelle, extraction, purification d'acides nucléiques, avec ou sans amplification (PCR, …) 
Séquençage à Haut débit 
et Traitement bioinformatique  _ Qualitatif _ Manuelle _  _ </v>
      </c>
      <c r="F291" s="48" t="str">
        <f>'Examens accrédités et ajouts'!L304</f>
        <v>27692 v4</v>
      </c>
      <c r="G291" s="48">
        <f>'Examens accrédités et ajouts'!M304</f>
        <v>0</v>
      </c>
    </row>
    <row r="292" spans="1:7" hidden="1" x14ac:dyDescent="0.2">
      <c r="A292" s="48" t="str">
        <f>'Examens accrédités et ajouts'!A305</f>
        <v>HOPITAL CHARLES NICOLLE CHU ROUEN</v>
      </c>
      <c r="B292" s="48" t="str">
        <f>'Examens accrédités et ajouts'!B305</f>
        <v>Génétique</v>
      </c>
      <c r="C292" s="48" t="str">
        <f>'Examens accrédités et ajouts'!E305</f>
        <v>Amyotrophie Spinale Infantile : Analyse des gènes SMN1 et SMN3</v>
      </c>
      <c r="D292" s="48" t="str">
        <f>'Examens accrédités et ajouts'!F305</f>
        <v>Sang / ADN extrait de sang</v>
      </c>
      <c r="E292" s="182" t="str">
        <f>'Examens accrédités et ajouts'!Q305</f>
        <v>BM GC03 _ B _ Recherche de réarrangements génomiques (PCR digitale) _ Quantitatif _ Semi-automatisée _ 1 _ QX200 (Bio-Rad, Hercules, CA, USA)</v>
      </c>
      <c r="F292" s="48" t="str">
        <f>'Examens accrédités et ajouts'!L305</f>
        <v>38897 v1</v>
      </c>
      <c r="G292" s="48">
        <f>'Examens accrédités et ajouts'!M305</f>
        <v>0</v>
      </c>
    </row>
    <row r="293" spans="1:7" hidden="1" x14ac:dyDescent="0.2">
      <c r="A293" s="48" t="str">
        <f>'Examens accrédités et ajouts'!A306</f>
        <v>HOPITAL CHARLES NICOLLE CHU ROUEN</v>
      </c>
      <c r="B293" s="48" t="str">
        <f>'Examens accrédités et ajouts'!B306</f>
        <v>Génétique</v>
      </c>
      <c r="C293" s="48" t="str">
        <f>'Examens accrédités et ajouts'!E306</f>
        <v>TEST CIBLE CNV EN ONCOGENETIQUE</v>
      </c>
      <c r="D293" s="48" t="str">
        <f>'Examens accrédités et ajouts'!F306</f>
        <v>Sang / ADN extrait de sang</v>
      </c>
      <c r="E293" s="182" t="str">
        <f>'Examens accrédités et ajouts'!Q306</f>
        <v>BM GC03 _ B _ Recherche de réarrangements génomiques (QMPSF)  _ Qualitatif  _ Semi-automatisée _ 1 _ Bioanalyseur 3500 Genetic Analyzer</v>
      </c>
      <c r="F293" s="48" t="str">
        <f>'Examens accrédités et ajouts'!L306</f>
        <v>16885 V4
31712 v1</v>
      </c>
      <c r="G293" s="48">
        <f>'Examens accrédités et ajouts'!M306</f>
        <v>0</v>
      </c>
    </row>
    <row r="294" spans="1:7" hidden="1" x14ac:dyDescent="0.2">
      <c r="A294" s="48" t="str">
        <f>'Examens accrédités et ajouts'!A307</f>
        <v>HOPITAL CHARLES NICOLLE CHU ROUEN</v>
      </c>
      <c r="B294" s="48" t="str">
        <f>'Examens accrédités et ajouts'!B307</f>
        <v>Génétique</v>
      </c>
      <c r="C294" s="48" t="str">
        <f>'Examens accrédités et ajouts'!E307</f>
        <v>TEST CIBLE CNV EN ONCOGENETIQUE</v>
      </c>
      <c r="D294" s="48" t="str">
        <f>'Examens accrédités et ajouts'!F307</f>
        <v>Sang / ADN extrait de sang</v>
      </c>
      <c r="E294" s="182" t="str">
        <f>'Examens accrédités et ajouts'!Q307</f>
        <v>BM GC03 _ B _ MLPA _ Qualitatif  _ Semi-automatisée _ 1 _ Bioanalyseur 3500 Genetic Analyzer</v>
      </c>
      <c r="F294" s="48" t="str">
        <f>'Examens accrédités et ajouts'!L307</f>
        <v>30933 v3
30932 v2
30929 v3
27438 v2
33369 v2
33370 v2
36967 V1</v>
      </c>
      <c r="G294" s="48">
        <f>'Examens accrédités et ajouts'!M307</f>
        <v>0</v>
      </c>
    </row>
    <row r="295" spans="1:7" hidden="1" x14ac:dyDescent="0.2">
      <c r="A295" s="48" t="str">
        <f>'Examens accrédités et ajouts'!A308</f>
        <v>HOPITAL CHARLES NICOLLE CHU ROUEN</v>
      </c>
      <c r="B295" s="48" t="str">
        <f>'Examens accrédités et ajouts'!B308</f>
        <v>Génétique</v>
      </c>
      <c r="C295" s="48" t="str">
        <f>'Examens accrédités et ajouts'!E308</f>
        <v>Maladie d'Alzheimer autosomique dominante : recherche de duplication du gène APP par MLPA</v>
      </c>
      <c r="D295" s="48" t="str">
        <f>'Examens accrédités et ajouts'!F308</f>
        <v>Sang / ADN</v>
      </c>
      <c r="E295" s="182" t="str">
        <f>'Examens accrédités et ajouts'!Q308</f>
        <v>BM GC03 _ A _ MLPA _ Quantitatif _ Semi-automatisée _ 1 _ Bioanalyseur 3500 Genetic Analyzer </v>
      </c>
      <c r="F295" s="48" t="str">
        <f>'Examens accrédités et ajouts'!L308</f>
        <v>36194 v3</v>
      </c>
      <c r="G295" s="48">
        <f>'Examens accrédités et ajouts'!M308</f>
        <v>0</v>
      </c>
    </row>
    <row r="296" spans="1:7" hidden="1" x14ac:dyDescent="0.2">
      <c r="A296" s="48" t="str">
        <f>'Examens accrédités et ajouts'!A309</f>
        <v>HOPITAL CHARLES NICOLLE CHU ROUEN</v>
      </c>
      <c r="B296" s="48" t="str">
        <f>'Examens accrédités et ajouts'!B309</f>
        <v>Génétique</v>
      </c>
      <c r="C296" s="48" t="str">
        <f>'Examens accrédités et ajouts'!E309</f>
        <v>Calcifications cérébrales primaires: recherche de remaniement du gène SLC20A2 par QMPSF</v>
      </c>
      <c r="D296" s="48" t="str">
        <f>'Examens accrédités et ajouts'!F309</f>
        <v>Sang / ADN</v>
      </c>
      <c r="E296" s="182" t="str">
        <f>'Examens accrédités et ajouts'!Q309</f>
        <v>BM GC03 _ B _ Recherche de réarrangements génomiques (QMPSF)  _ Qualitatif  _ Semi-automatisée _ 1 _ Bioanalyseur 3500 Genetic Analyzer </v>
      </c>
      <c r="F296" s="48" t="str">
        <f>'Examens accrédités et ajouts'!L309</f>
        <v>36991 V1</v>
      </c>
      <c r="G296" s="48">
        <f>'Examens accrédités et ajouts'!M309</f>
        <v>0</v>
      </c>
    </row>
    <row r="297" spans="1:7" hidden="1" x14ac:dyDescent="0.2">
      <c r="A297" s="48" t="str">
        <f>'Examens accrédités et ajouts'!A310</f>
        <v>HOPITAL CHARLES NICOLLE CHU ROUEN</v>
      </c>
      <c r="B297" s="48" t="str">
        <f>'Examens accrédités et ajouts'!B310</f>
        <v>Génétique</v>
      </c>
      <c r="C297" s="48" t="str">
        <f>'Examens accrédités et ajouts'!E310</f>
        <v>Calcifications cérébrales primaires: recherche de remaniement du gène PDGFB par QMPSF</v>
      </c>
      <c r="D297" s="48" t="str">
        <f>'Examens accrédités et ajouts'!F310</f>
        <v>Sang / ADN</v>
      </c>
      <c r="E297" s="182" t="str">
        <f>'Examens accrédités et ajouts'!Q310</f>
        <v>BM GC03 _ B _ Recherche de réarrangements génomiques (QMPSF)  _ Qualitatif  _ Semi-automatisée _ 1 _ Bioanalyseur 3500 Genetic Analyzer </v>
      </c>
      <c r="F297" s="48" t="str">
        <f>'Examens accrédités et ajouts'!L310</f>
        <v>36972 V1</v>
      </c>
      <c r="G297" s="48">
        <f>'Examens accrédités et ajouts'!M310</f>
        <v>0</v>
      </c>
    </row>
    <row r="298" spans="1:7" hidden="1" x14ac:dyDescent="0.2">
      <c r="A298" s="48" t="str">
        <f>'Examens accrédités et ajouts'!A311</f>
        <v>HOPITAL CHARLES NICOLLE CHU ROUEN</v>
      </c>
      <c r="B298" s="48" t="str">
        <f>'Examens accrédités et ajouts'!B311</f>
        <v>Génétique</v>
      </c>
      <c r="C298" s="48" t="str">
        <f>'Examens accrédités et ajouts'!E311</f>
        <v>TEST CIBLE SANGER EN ONCOGENETIQUE</v>
      </c>
      <c r="D298" s="48" t="str">
        <f>'Examens accrédités et ajouts'!F311</f>
        <v>Sang / ADN extrait de sang</v>
      </c>
      <c r="E298" s="182" t="str">
        <f>'Examens accrédités et ajouts'!Q311</f>
        <v>BM GC04 _ B _ Séquençage Sanger _ Qualitatif  _ Semi-automatisée _ 1 _ Bioanalyseur 3500 Genetic Analyzer </v>
      </c>
      <c r="F298" s="48" t="str">
        <f>'Examens accrédités et ajouts'!L311</f>
        <v>7021 V7</v>
      </c>
      <c r="G298" s="48">
        <f>'Examens accrédités et ajouts'!M311</f>
        <v>0</v>
      </c>
    </row>
    <row r="299" spans="1:7" hidden="1" x14ac:dyDescent="0.2">
      <c r="A299" s="48" t="str">
        <f>'Examens accrédités et ajouts'!A312</f>
        <v>HOPITAL CHARLES NICOLLE CHU ROUEN</v>
      </c>
      <c r="B299" s="48" t="str">
        <f>'Examens accrédités et ajouts'!B312</f>
        <v>Génétique</v>
      </c>
      <c r="C299" s="48" t="str">
        <f>'Examens accrédités et ajouts'!E312</f>
        <v>Formes autosomiques dominantes de maladie d'Alzheimer: Séquencage Sanger des gènes PSEN1, PSEN2 et APP </v>
      </c>
      <c r="D299" s="48" t="str">
        <f>'Examens accrédités et ajouts'!F312</f>
        <v>Sang / ADN extrait de sang</v>
      </c>
      <c r="E299" s="182" t="str">
        <f>'Examens accrédités et ajouts'!Q312</f>
        <v>BM GC04 _ B _ Séquençage Sanger _ Qualitatif  _ Semi-automatisée _ 1 _ Bioanalyseur 3500 Genetic Analyzer </v>
      </c>
      <c r="F299" s="48" t="str">
        <f>'Examens accrédités et ajouts'!L312</f>
        <v>7021 V7</v>
      </c>
      <c r="G299" s="48">
        <f>'Examens accrédités et ajouts'!M312</f>
        <v>0</v>
      </c>
    </row>
    <row r="300" spans="1:7" hidden="1" x14ac:dyDescent="0.2">
      <c r="A300" s="48" t="str">
        <f>'Examens accrédités et ajouts'!A313</f>
        <v>HOPITAL CHARLES NICOLLE CHU ROUEN</v>
      </c>
      <c r="B300" s="48" t="str">
        <f>'Examens accrédités et ajouts'!B313</f>
        <v>Génétique</v>
      </c>
      <c r="C300" s="48" t="str">
        <f>'Examens accrédités et ajouts'!E313</f>
        <v>Calcifications cérébrales primaires: Séquencage Sanger des gènes SLC20A2, PDGFB, PDGFRB et XPR1 </v>
      </c>
      <c r="D300" s="48" t="str">
        <f>'Examens accrédités et ajouts'!F313</f>
        <v>Sang / ADN extrait de sang</v>
      </c>
      <c r="E300" s="182" t="str">
        <f>'Examens accrédités et ajouts'!Q313</f>
        <v>BM GC04 _ B _ Séquençage Sanger _ Qualitatif  _ Semi-automatisée _ 1 _ Bioanalyseur 3500 Genetic Analyzer </v>
      </c>
      <c r="F300" s="48" t="str">
        <f>'Examens accrédités et ajouts'!L313</f>
        <v>7021 V7</v>
      </c>
      <c r="G300" s="48">
        <f>'Examens accrédités et ajouts'!M313</f>
        <v>0</v>
      </c>
    </row>
    <row r="301" spans="1:7" hidden="1" x14ac:dyDescent="0.2">
      <c r="A301" s="48" t="str">
        <f>'Examens accrédités et ajouts'!A314</f>
        <v>HOPITAL CHARLES NICOLLE CHU ROUEN</v>
      </c>
      <c r="B301" s="48" t="str">
        <f>'Examens accrédités et ajouts'!B314</f>
        <v>Génétique</v>
      </c>
      <c r="C301" s="48" t="str">
        <f>'Examens accrédités et ajouts'!E314</f>
        <v>TEST CIBLE SANGER NEURO</v>
      </c>
      <c r="D301" s="48" t="str">
        <f>'Examens accrédités et ajouts'!F314</f>
        <v>Sang / ADN extrait de sang</v>
      </c>
      <c r="E301" s="182" t="str">
        <f>'Examens accrédités et ajouts'!Q314</f>
        <v>BM GC04 _ B _ Séquençage Sanger _ Qualitatif  _ Semi-automatisée _ 1 _ Bioanalyseur 3500 Genetic Analyzer </v>
      </c>
      <c r="F301" s="48" t="str">
        <f>'Examens accrédités et ajouts'!L314</f>
        <v>7021 V7</v>
      </c>
      <c r="G301" s="48">
        <f>'Examens accrédités et ajouts'!M314</f>
        <v>0</v>
      </c>
    </row>
    <row r="302" spans="1:7" hidden="1" x14ac:dyDescent="0.2">
      <c r="A302" s="48" t="str">
        <f>'Examens accrédités et ajouts'!A315</f>
        <v>HOPITAL CHARLES NICOLLE CHU ROUEN</v>
      </c>
      <c r="B302" s="48" t="str">
        <f>'Examens accrédités et ajouts'!B315</f>
        <v>Génétique</v>
      </c>
      <c r="C302" s="48" t="str">
        <f>'Examens accrédités et ajouts'!E315</f>
        <v xml:space="preserve">Quantification du nombre de répétitions CGG au locus FRAXA pour le diagnostic du syndrome de l’X-Fragile, FXTAS et FXPOI </v>
      </c>
      <c r="D302" s="48" t="str">
        <f>'Examens accrédités et ajouts'!F315</f>
        <v>Sang / ADN</v>
      </c>
      <c r="E302" s="182" t="str">
        <f>'Examens accrédités et ajouts'!Q315</f>
        <v>BM GC04 _ B _ Analyse de taille de fragments fluorescents par PCR multiplex et par RP-PCR  _ Quantitatif _ Semi-automatisée _ 1 _ Bioanalyseur 3500 Genetic Analyzer </v>
      </c>
      <c r="F302" s="48" t="str">
        <f>'Examens accrédités et ajouts'!L315</f>
        <v>27403 v3
27404 v3</v>
      </c>
      <c r="G302" s="48">
        <f>'Examens accrédités et ajouts'!M315</f>
        <v>0</v>
      </c>
    </row>
    <row r="303" spans="1:7" hidden="1" x14ac:dyDescent="0.2">
      <c r="A303" s="48" t="str">
        <f>'Examens accrédités et ajouts'!A316</f>
        <v>HOPITAL CHARLES NICOLLE CHU ROUEN</v>
      </c>
      <c r="B303" s="48" t="str">
        <f>'Examens accrédités et ajouts'!B316</f>
        <v>Génétique</v>
      </c>
      <c r="C303" s="48" t="str">
        <f>'Examens accrédités et ajouts'!E316</f>
        <v>Recherche de délétion homozygote du gène SMN1 pour le diagnostic de la SMA</v>
      </c>
      <c r="D303" s="48" t="str">
        <f>'Examens accrédités et ajouts'!F316</f>
        <v>Sang / ADN</v>
      </c>
      <c r="E303" s="182" t="str">
        <f>'Examens accrédités et ajouts'!Q316</f>
        <v>BM GC04 _ B _ Introduction d'un mésappariement dans l’amorce reverse de la PCR qui s’hybride sur l’exon 7 (X7-Dra). L’amorce se termine juste avant la position c.840 qui distingue SMN1 et SMN2 (C sur SMN1 et T sur SMN2). Le mésappariement permet la création d’un site de restriction DraI (TTTAAA) exclusivement dans le produit amplifié issu du gène SMN2. Puis migration sur gel d’agarose du produit de digestion. _ Qualitatif _ Semi-automatisée _ 4 _ Thermocycleur : ABI 9700 Alu ou 9700 or1 ou 9700 or2 ou Proflex1
Transilluminateur UV
Cuve électrophorèse</v>
      </c>
      <c r="F303" s="48" t="str">
        <f>'Examens accrédités et ajouts'!L316</f>
        <v>33024 v2</v>
      </c>
      <c r="G303" s="48">
        <f>'Examens accrédités et ajouts'!M316</f>
        <v>0</v>
      </c>
    </row>
    <row r="304" spans="1:7" hidden="1" x14ac:dyDescent="0.2">
      <c r="A304" s="48" t="str">
        <f>'Examens accrédités et ajouts'!A317</f>
        <v>HOPITAL CHARLES NICOLLE CHU ROUEN</v>
      </c>
      <c r="B304" s="48" t="str">
        <f>'Examens accrédités et ajouts'!B317</f>
        <v>Génétique</v>
      </c>
      <c r="C304" s="48" t="str">
        <f>'Examens accrédités et ajouts'!E317</f>
        <v>Diagnostic moléculaire du syndrome de Prader-Willi</v>
      </c>
      <c r="D304" s="48" t="str">
        <f>'Examens accrédités et ajouts'!F317</f>
        <v>Sang/ ADN</v>
      </c>
      <c r="E304" s="182" t="str">
        <f>'Examens accrédités et ajouts'!Q317</f>
        <v>BM GC05 _ B _ Etude de l'empreinte par analyse de taille de fragments après PCR Methyl spécifique _ qualitatif _ semi-automatisée _ 1 _ Bioanalyseur 3500</v>
      </c>
      <c r="F304" s="48" t="str">
        <f>'Examens accrédités et ajouts'!L317</f>
        <v>30325 V3</v>
      </c>
      <c r="G304" s="48">
        <f>'Examens accrédités et ajouts'!M317</f>
        <v>0</v>
      </c>
    </row>
    <row r="305" spans="1:7" hidden="1" x14ac:dyDescent="0.2">
      <c r="A305" s="48" t="str">
        <f>'Examens accrédités et ajouts'!A318</f>
        <v>HOPITAL CHARLES NICOLLE CHU ROUEN</v>
      </c>
      <c r="B305" s="48" t="str">
        <f>'Examens accrédités et ajouts'!B318</f>
        <v>Génétique</v>
      </c>
      <c r="C305" s="48" t="str">
        <f>'Examens accrédités et ajouts'!E318</f>
        <v>Diagnostic moléculaire du syndrome d'Angelman</v>
      </c>
      <c r="D305" s="48" t="str">
        <f>'Examens accrédités et ajouts'!F318</f>
        <v>Sang/ ADN</v>
      </c>
      <c r="E305" s="182" t="str">
        <f>'Examens accrédités et ajouts'!Q318</f>
        <v>BM GC05 _ B _ Etude de l'empreinte par analyse de taille de fragments après PCR Methyl spécifique _ qualitatif _ semi-automatisée _ 1 _ Bioanalyseur 3500</v>
      </c>
      <c r="F305" s="48" t="str">
        <f>'Examens accrédités et ajouts'!L318</f>
        <v>30325 V3</v>
      </c>
      <c r="G305" s="48">
        <f>'Examens accrédités et ajouts'!M318</f>
        <v>0</v>
      </c>
    </row>
    <row r="306" spans="1:7" hidden="1" x14ac:dyDescent="0.2">
      <c r="A306" s="48" t="str">
        <f>'Examens accrédités et ajouts'!A319</f>
        <v>HOPITAL CHARLES NICOLLE CHU ROUEN</v>
      </c>
      <c r="B306" s="48" t="str">
        <f>'Examens accrédités et ajouts'!B319</f>
        <v>Génétique</v>
      </c>
      <c r="C306" s="48" t="str">
        <f>'Examens accrédités et ajouts'!E319</f>
        <v>Diagnostic moléculaire en NGS des prédispositions héréditaires au cancer : analyse des gènes (MLH1, EPCAM, MSH2, MSH6, PMS2, POLE, POLD1, APC, MUTYH, SMAD4, BMPR1A, STK11, PTEN, BRCA1, BRCA2, PALB2, RAD51C, RAD51D, CDH1, TP53)</v>
      </c>
      <c r="D306" s="48" t="str">
        <f>'Examens accrédités et ajouts'!F319</f>
        <v>Sang/ ADN</v>
      </c>
      <c r="E306" s="182" t="str">
        <f>'Examens accrédités et ajouts'!Q319</f>
        <v>BM GC07 _ B _ Recherche d'altérations moléculaires par séquençage haut débit NGS _ qualitatif _ semi-automatisée _ 4 _ Séquenceurs Illumina MiSeq
Séquenceur Illumina NextSeq
Novaseq</v>
      </c>
      <c r="F306" s="48" t="str">
        <f>'Examens accrédités et ajouts'!L319</f>
        <v>30396 V4</v>
      </c>
      <c r="G306" s="48">
        <f>'Examens accrédités et ajouts'!M319</f>
        <v>0</v>
      </c>
    </row>
    <row r="307" spans="1:7" hidden="1" x14ac:dyDescent="0.2">
      <c r="A307" s="48" t="str">
        <f>'Examens accrédités et ajouts'!A320</f>
        <v>HOPITAL CHARLES NICOLLE CHU ROUEN</v>
      </c>
      <c r="B307" s="48" t="str">
        <f>'Examens accrédités et ajouts'!B320</f>
        <v>Génétique</v>
      </c>
      <c r="C307" s="48" t="str">
        <f>'Examens accrédités et ajouts'!E320</f>
        <v>Séquençage d'exomes</v>
      </c>
      <c r="D307" s="48" t="str">
        <f>'Examens accrédités et ajouts'!F320</f>
        <v>Sang/ ADN</v>
      </c>
      <c r="E307" s="182" t="str">
        <f>'Examens accrédités et ajouts'!Q320</f>
        <v>BM GC07 _ B _ Séquençage haut débit NGS _ qualitatif _ semi-automatisée _ 4 _ Séquenceurs Illumina MiSeq
Séquenceur Illumina NextSeq
Novaseq</v>
      </c>
      <c r="F307" s="48" t="str">
        <f>'Examens accrédités et ajouts'!L320</f>
        <v>43119 v1</v>
      </c>
      <c r="G307" s="48" t="str">
        <f>'Examens accrédités et ajouts'!M320</f>
        <v>ajout d'un examen dans la portée 11/08/25</v>
      </c>
    </row>
    <row r="308" spans="1:7" hidden="1" x14ac:dyDescent="0.2">
      <c r="A308" s="48" t="str">
        <f>'Examens accrédités et ajouts'!A321</f>
        <v>HOPITAL CHARLES NICOLLE CHU ROUEN</v>
      </c>
      <c r="B308" s="48" t="str">
        <f>'Examens accrédités et ajouts'!B321</f>
        <v>Hématologie</v>
      </c>
      <c r="C308" s="48" t="str">
        <f>'Examens accrédités et ajouts'!E321</f>
        <v>Dosage de l'hémoglobine A, A2, F et S par CLHP et mise en évidence d’hémoglobines anormales</v>
      </c>
      <c r="D308" s="48" t="str">
        <f>'Examens accrédités et ajouts'!F321</f>
        <v>Sang</v>
      </c>
      <c r="E308" s="182" t="str">
        <f>'Examens accrédités et ajouts'!Q321</f>
        <v>BM BB02 _ A _ Chromatographie Liquide Haute Performance avec détection par spectrophotomètrie _ Quantitatif _ Automatisée _ 1 _ BIORAD Variant II</v>
      </c>
      <c r="F308" s="48" t="str">
        <f>'Examens accrédités et ajouts'!L321</f>
        <v>28663 v6</v>
      </c>
      <c r="G308" s="48" t="str">
        <f>'Examens accrédités et ajouts'!M321</f>
        <v>Processus complexe "Etude de l'hémoglobine" aussi sur les lignes de porées BB04</v>
      </c>
    </row>
    <row r="309" spans="1:7" hidden="1" x14ac:dyDescent="0.2">
      <c r="A309" s="48" t="str">
        <f>'Examens accrédités et ajouts'!A322</f>
        <v>HOPITAL CHARLES NICOLLE CHU ROUEN</v>
      </c>
      <c r="B309" s="48" t="str">
        <f>'Examens accrédités et ajouts'!B322</f>
        <v>Hématologie</v>
      </c>
      <c r="C309" s="48" t="str">
        <f>'Examens accrédités et ajouts'!E322</f>
        <v>Dosage de la PK</v>
      </c>
      <c r="D309" s="48" t="str">
        <f>'Examens accrédités et ajouts'!F322</f>
        <v>sang</v>
      </c>
      <c r="E309" s="182" t="str">
        <f>'Examens accrédités et ajouts'!Q322</f>
        <v>BM BB01 _ B _ Cinétique enzymatique par spectrophotométrie _ Quantitatif _ Automatisée _ 1 _ Analytikjena/Specord 205/222A477</v>
      </c>
      <c r="F309" s="48" t="str">
        <f>'Examens accrédités et ajouts'!L322</f>
        <v>29961 v5</v>
      </c>
      <c r="G309" s="48" t="str">
        <f>'Examens accrédités et ajouts'!M322</f>
        <v>Processus complexe "Dosage des enzymes érythocytaires" aussi en ligne de portée HB06</v>
      </c>
    </row>
    <row r="310" spans="1:7" hidden="1" x14ac:dyDescent="0.2">
      <c r="A310" s="48" t="str">
        <f>'Examens accrédités et ajouts'!A323</f>
        <v>HOPITAL CHARLES NICOLLE CHU ROUEN</v>
      </c>
      <c r="B310" s="48" t="str">
        <f>'Examens accrédités et ajouts'!B323</f>
        <v>Hématologie</v>
      </c>
      <c r="C310" s="48" t="str">
        <f>'Examens accrédités et ajouts'!E323</f>
        <v>Dosage de la G6PD</v>
      </c>
      <c r="D310" s="48" t="str">
        <f>'Examens accrédités et ajouts'!F323</f>
        <v>sang</v>
      </c>
      <c r="E310" s="182" t="str">
        <f>'Examens accrédités et ajouts'!Q323</f>
        <v>BM BB01 _ B _ Cinétique enzymatique par spectrophotométrie _ Quantitatif _ Automatisée _ 1 _ Analytikjena/Specord 205/222A477</v>
      </c>
      <c r="F310" s="48" t="str">
        <f>'Examens accrédités et ajouts'!L323</f>
        <v>29961 v5</v>
      </c>
      <c r="G310" s="48" t="str">
        <f>'Examens accrédités et ajouts'!M323</f>
        <v>Processus complexe "Dosage des enzymes érythocytaires" aussi en ligne de portée HB06</v>
      </c>
    </row>
    <row r="311" spans="1:7" hidden="1" x14ac:dyDescent="0.2">
      <c r="A311" s="48" t="str">
        <f>'Examens accrédités et ajouts'!A324</f>
        <v>HOPITAL CHARLES NICOLLE CHU ROUEN</v>
      </c>
      <c r="B311" s="48" t="str">
        <f>'Examens accrédités et ajouts'!B324</f>
        <v>Hématologie</v>
      </c>
      <c r="C311" s="48" t="str">
        <f>'Examens accrédités et ajouts'!E324</f>
        <v>Isoélectrofocalisation de l'hémoglobine sur gel d'agarose</v>
      </c>
      <c r="D311" s="48" t="str">
        <f>'Examens accrédités et ajouts'!F324</f>
        <v>sang</v>
      </c>
      <c r="E311" s="182" t="str">
        <f>'Examens accrédités et ajouts'!Q324</f>
        <v xml:space="preserve">BM BB04 _ A _ Détermination qualitative des fractions d’hémoglobine par migration d’un hémolysat sur un gel d’agarose contenant des ampholytes de pH 6-8 sur lequel est appliqué un courant électrique, permettant aux différentes hémoglobines de migrer jusqu’à leur point isoélectrique et formant une bande. _ Qualitatif _ Manuelle _  _ </v>
      </c>
      <c r="F311" s="48" t="str">
        <f>'Examens accrédités et ajouts'!L324</f>
        <v>28663 v6</v>
      </c>
      <c r="G311" s="48" t="str">
        <f>'Examens accrédités et ajouts'!M324</f>
        <v>Processus complexe "Etude de l'hémoglobine" aussi sur les lignes de portées BB02</v>
      </c>
    </row>
    <row r="312" spans="1:7" hidden="1" x14ac:dyDescent="0.2">
      <c r="A312" s="48" t="str">
        <f>'Examens accrédités et ajouts'!A325</f>
        <v>HOPITAL CHARLES NICOLLE CHU ROUEN</v>
      </c>
      <c r="B312" s="48" t="str">
        <f>'Examens accrédités et ajouts'!B325</f>
        <v>Hématologie</v>
      </c>
      <c r="C312" s="48" t="str">
        <f>'Examens accrédités et ajouts'!E325</f>
        <v>Mise en évidence et dosage des hémoglobines anormales par électrophorèse capillaire</v>
      </c>
      <c r="D312" s="48" t="str">
        <f>'Examens accrédités et ajouts'!F325</f>
        <v>Sang</v>
      </c>
      <c r="E312" s="182" t="str">
        <f>'Examens accrédités et ajouts'!Q325</f>
        <v>BM BB04 _ A _ Séparation des différentes hémoglobines présentes dans le sang total d'un individu par électrophorèse capillaire selon leur mobilité électrophorétique (pH basique du tampon, flux électroendosmose) et détection par spectrophotomètrie à 415 nm (code BB1 du SH INF 50). _ Quantitatif _ Automatisée _ 1 _ Capillarys 3 Octa, Sebia</v>
      </c>
      <c r="F312" s="48" t="str">
        <f>'Examens accrédités et ajouts'!L325</f>
        <v>28663 v6</v>
      </c>
      <c r="G312" s="48" t="str">
        <f>'Examens accrédités et ajouts'!M325</f>
        <v>Processus complexe "Etude de l'hémoglobine" aussi sur les lignes de portées BB02</v>
      </c>
    </row>
    <row r="313" spans="1:7" hidden="1" x14ac:dyDescent="0.2">
      <c r="A313" s="48" t="str">
        <f>'Examens accrédités et ajouts'!A326</f>
        <v>HOPITAL CHARLES NICOLLE CHU ROUEN</v>
      </c>
      <c r="B313" s="48" t="str">
        <f>'Examens accrédités et ajouts'!B326</f>
        <v>Hématologie</v>
      </c>
      <c r="C313" s="48" t="str">
        <f>'Examens accrédités et ajouts'!E326</f>
        <v>Antithrombine, antigène</v>
      </c>
      <c r="D313" s="48" t="str">
        <f>'Examens accrédités et ajouts'!F326</f>
        <v>Plasma</v>
      </c>
      <c r="E313" s="182" t="str">
        <f>'Examens accrédités et ajouts'!Q326</f>
        <v>BM CB02 _ A _ Immunoturbidimétrie _ Quantitatif _ Automatisée _ 1 _ STARMAX2
Diagnostica STAGO</v>
      </c>
      <c r="F313" s="48" t="str">
        <f>'Examens accrédités et ajouts'!L326</f>
        <v xml:space="preserve">14901 v4           </v>
      </c>
      <c r="G313" s="48" t="str">
        <f>'Examens accrédités et ajouts'!M326</f>
        <v>Le 10/12/2024 mise en place du STARMAX 549 dans un autre secteur</v>
      </c>
    </row>
    <row r="314" spans="1:7" hidden="1" x14ac:dyDescent="0.2">
      <c r="A314" s="48" t="str">
        <f>'Examens accrédités et ajouts'!A327</f>
        <v>HOPITAL CHARLES NICOLLE CHU ROUEN</v>
      </c>
      <c r="B314" s="48" t="str">
        <f>'Examens accrédités et ajouts'!B327</f>
        <v>Hématologie</v>
      </c>
      <c r="C314" s="48" t="str">
        <f>'Examens accrédités et ajouts'!E327</f>
        <v>Antithrombine, activité</v>
      </c>
      <c r="D314" s="48" t="str">
        <f>'Examens accrédités et ajouts'!F327</f>
        <v>Plasma</v>
      </c>
      <c r="E314" s="182" t="str">
        <f>'Examens accrédités et ajouts'!Q327</f>
        <v xml:space="preserve">BM CB02 _ A _ Technique Colorimétrique _ Quantitatif _ Automatisée _ 2 _ STAR Max3 et STARMAX2 Diagnostica STAGO (chu)    </v>
      </c>
      <c r="F314" s="48" t="str">
        <f>'Examens accrédités et ajouts'!L327</f>
        <v>14900 v5</v>
      </c>
      <c r="G314" s="48" t="str">
        <f>'Examens accrédités et ajouts'!M327</f>
        <v>Nouveaux automates STARMAX3 à partir du 12/11/2024
Le 10/12/2024 mise en place du STARMAX 549 dans un autre secteur</v>
      </c>
    </row>
    <row r="315" spans="1:7" hidden="1" x14ac:dyDescent="0.2">
      <c r="A315" s="48" t="str">
        <f>'Examens accrédités et ajouts'!A328</f>
        <v>HOPITAL CHARLES NICOLLE CHU ROUEN</v>
      </c>
      <c r="B315" s="48" t="str">
        <f>'Examens accrédités et ajouts'!B328</f>
        <v>Hématologie</v>
      </c>
      <c r="C315" s="48" t="str">
        <f>'Examens accrédités et ajouts'!E328</f>
        <v>Facteur VII</v>
      </c>
      <c r="D315" s="48" t="str">
        <f>'Examens accrédités et ajouts'!F328</f>
        <v>Plasma</v>
      </c>
      <c r="E315" s="182" t="str">
        <f>'Examens accrédités et ajouts'!Q328</f>
        <v xml:space="preserve">BM CB02 _ A _ Chronométrie _ Quantitatif _ Automatisée _ 2 _ STAR Max3 Diagnostica STAGO (chu)    </v>
      </c>
      <c r="F315" s="48" t="str">
        <f>'Examens accrédités et ajouts'!L328</f>
        <v>14853 v7</v>
      </c>
      <c r="G315" s="48" t="str">
        <f>'Examens accrédités et ajouts'!M328</f>
        <v>Nouveaux automates STARMAX3 à partir du 12/11/2024</v>
      </c>
    </row>
    <row r="316" spans="1:7" hidden="1" x14ac:dyDescent="0.2">
      <c r="A316" s="48" t="str">
        <f>'Examens accrédités et ajouts'!A329</f>
        <v>HOPITAL CHARLES NICOLLE CHU ROUEN</v>
      </c>
      <c r="B316" s="48" t="str">
        <f>'Examens accrédités et ajouts'!B329</f>
        <v>Hématologie</v>
      </c>
      <c r="C316" s="48" t="str">
        <f>'Examens accrédités et ajouts'!E329</f>
        <v>Facteur V</v>
      </c>
      <c r="D316" s="48" t="str">
        <f>'Examens accrédités et ajouts'!F329</f>
        <v>Plasma</v>
      </c>
      <c r="E316" s="182" t="str">
        <f>'Examens accrédités et ajouts'!Q329</f>
        <v xml:space="preserve">BM CB02 _ A _ Chronométrie _ Quantitatif _ Automatisée _ 2 _ STAR Max3 Diagnostica STAGO (chu)    </v>
      </c>
      <c r="F316" s="48" t="str">
        <f>'Examens accrédités et ajouts'!L329</f>
        <v>14852 v7</v>
      </c>
      <c r="G316" s="48" t="str">
        <f>'Examens accrédités et ajouts'!M329</f>
        <v>Nouveaux automates STARMAX3 à partir du 12/11/2024</v>
      </c>
    </row>
    <row r="317" spans="1:7" hidden="1" x14ac:dyDescent="0.2">
      <c r="A317" s="48" t="str">
        <f>'Examens accrédités et ajouts'!A330</f>
        <v>HOPITAL CHARLES NICOLLE CHU ROUEN</v>
      </c>
      <c r="B317" s="48" t="str">
        <f>'Examens accrédités et ajouts'!B330</f>
        <v>Hématologie</v>
      </c>
      <c r="C317" s="48" t="str">
        <f>'Examens accrédités et ajouts'!E330</f>
        <v xml:space="preserve">Facteur II </v>
      </c>
      <c r="D317" s="48" t="str">
        <f>'Examens accrédités et ajouts'!F330</f>
        <v>Plasma</v>
      </c>
      <c r="E317" s="182" t="str">
        <f>'Examens accrédités et ajouts'!Q330</f>
        <v xml:space="preserve">BM CB02 _ A _ Chronométrie _ Quantitatif _ Automatisée _ 2 _ STAR Max3 Diagnostica STAGO (chu)    </v>
      </c>
      <c r="F317" s="48" t="str">
        <f>'Examens accrédités et ajouts'!L330</f>
        <v>14851 v8</v>
      </c>
      <c r="G317" s="48" t="str">
        <f>'Examens accrédités et ajouts'!M330</f>
        <v>Nouveaux automates STARMAX3 à partir du 12/11/2024</v>
      </c>
    </row>
    <row r="318" spans="1:7" hidden="1" x14ac:dyDescent="0.2">
      <c r="A318" s="48" t="str">
        <f>'Examens accrédités et ajouts'!A331</f>
        <v>HOPITAL CHARLES NICOLLE CHU ROUEN</v>
      </c>
      <c r="B318" s="48" t="str">
        <f>'Examens accrédités et ajouts'!B331</f>
        <v>Hématologie</v>
      </c>
      <c r="C318" s="48" t="str">
        <f>'Examens accrédités et ajouts'!E331</f>
        <v>Facteur X</v>
      </c>
      <c r="D318" s="48" t="str">
        <f>'Examens accrédités et ajouts'!F331</f>
        <v>Plasma</v>
      </c>
      <c r="E318" s="182" t="str">
        <f>'Examens accrédités et ajouts'!Q331</f>
        <v xml:space="preserve">BM CB02 _ A _ Chronométrie _ Quantitatif _ Automatisée _ 2 _ STAR Max3 Diagnostica STAGO (chu)    </v>
      </c>
      <c r="F318" s="48" t="str">
        <f>'Examens accrédités et ajouts'!L331</f>
        <v>14854 v7</v>
      </c>
      <c r="G318" s="48" t="str">
        <f>'Examens accrédités et ajouts'!M331</f>
        <v>Nouveaux automates STARMAX3 à partir du 12/11/2024</v>
      </c>
    </row>
    <row r="319" spans="1:7" hidden="1" x14ac:dyDescent="0.2">
      <c r="A319" s="48" t="str">
        <f>'Examens accrédités et ajouts'!A332</f>
        <v>HOPITAL CHARLES NICOLLE CHU ROUEN</v>
      </c>
      <c r="B319" s="48" t="str">
        <f>'Examens accrédités et ajouts'!B332</f>
        <v>Hématologie</v>
      </c>
      <c r="C319" s="48" t="str">
        <f>'Examens accrédités et ajouts'!E332</f>
        <v>Facteur XII</v>
      </c>
      <c r="D319" s="48" t="str">
        <f>'Examens accrédités et ajouts'!F332</f>
        <v>Plasma</v>
      </c>
      <c r="E319" s="182" t="str">
        <f>'Examens accrédités et ajouts'!Q332</f>
        <v>BM CB02 _ B _ Chronométrie _ Quantitatif _ Automatisée _ 1 _ STAR Max 3</v>
      </c>
      <c r="F319" s="48" t="str">
        <f>'Examens accrédités et ajouts'!L332</f>
        <v>16830 V4</v>
      </c>
      <c r="G319" s="48">
        <f>'Examens accrédités et ajouts'!M332</f>
        <v>0</v>
      </c>
    </row>
    <row r="320" spans="1:7" hidden="1" x14ac:dyDescent="0.2">
      <c r="A320" s="48" t="str">
        <f>'Examens accrédités et ajouts'!A333</f>
        <v>HOPITAL CHARLES NICOLLE CHU ROUEN</v>
      </c>
      <c r="B320" s="48" t="str">
        <f>'Examens accrédités et ajouts'!B333</f>
        <v>Hématologie</v>
      </c>
      <c r="C320" s="48" t="str">
        <f>'Examens accrédités et ajouts'!E333</f>
        <v>Facteur XIII</v>
      </c>
      <c r="D320" s="48" t="str">
        <f>'Examens accrédités et ajouts'!F333</f>
        <v>Plasma</v>
      </c>
      <c r="E320" s="182" t="str">
        <f>'Examens accrédités et ajouts'!Q333</f>
        <v>BM CB02 _ A _ Dosage chromogénique _ Quantitatif _ Automatisée _ 1 _  SYSMEX : CN 3500</v>
      </c>
      <c r="F320" s="48" t="str">
        <f>'Examens accrédités et ajouts'!L333</f>
        <v>16829 V4</v>
      </c>
      <c r="G320" s="48">
        <f>'Examens accrédités et ajouts'!M333</f>
        <v>0</v>
      </c>
    </row>
    <row r="321" spans="1:7" hidden="1" x14ac:dyDescent="0.2">
      <c r="A321" s="48" t="str">
        <f>'Examens accrédités et ajouts'!A334</f>
        <v>HOPITAL CHARLES NICOLLE CHU ROUEN</v>
      </c>
      <c r="B321" s="48" t="str">
        <f>'Examens accrédités et ajouts'!B334</f>
        <v>Hématologie</v>
      </c>
      <c r="C321" s="48" t="str">
        <f>'Examens accrédités et ajouts'!E334</f>
        <v>Facteur VIII chromogénique</v>
      </c>
      <c r="D321" s="48" t="str">
        <f>'Examens accrédités et ajouts'!F334</f>
        <v>Plasma</v>
      </c>
      <c r="E321" s="182" t="str">
        <f>'Examens accrédités et ajouts'!Q334</f>
        <v>BM CB02 _ B _ Dosage chromogénique _ Quantitatif _ Automatisée _ 1 _  SYSMEX : CN 3500</v>
      </c>
      <c r="F321" s="48" t="str">
        <f>'Examens accrédités et ajouts'!L334</f>
        <v>31189 v2</v>
      </c>
      <c r="G321" s="48">
        <f>'Examens accrédités et ajouts'!M334</f>
        <v>0</v>
      </c>
    </row>
    <row r="322" spans="1:7" hidden="1" x14ac:dyDescent="0.2">
      <c r="A322" s="48" t="str">
        <f>'Examens accrédités et ajouts'!A335</f>
        <v>HOPITAL CHARLES NICOLLE CHU ROUEN</v>
      </c>
      <c r="B322" s="48" t="str">
        <f>'Examens accrédités et ajouts'!B335</f>
        <v>Hématologie</v>
      </c>
      <c r="C322" s="48" t="str">
        <f>'Examens accrédités et ajouts'!E335</f>
        <v>Monomères de fibrine</v>
      </c>
      <c r="D322" s="48" t="str">
        <f>'Examens accrédités et ajouts'!F335</f>
        <v>Plasma</v>
      </c>
      <c r="E322" s="182" t="str">
        <f>'Examens accrédités et ajouts'!Q335</f>
        <v xml:space="preserve">BM CB02 _ A _ Immunoturbidimétrie _ Quantitatif _ Automatisée _ 2 _ STAR Max3 Diagnostica STAGO (chu)    </v>
      </c>
      <c r="F322" s="48" t="str">
        <f>'Examens accrédités et ajouts'!L335</f>
        <v>24417 v4</v>
      </c>
      <c r="G322" s="48" t="str">
        <f>'Examens accrédités et ajouts'!M335</f>
        <v>Nouveaux automates STARMAX3 à partir du 12/11/2024</v>
      </c>
    </row>
    <row r="323" spans="1:7" hidden="1" x14ac:dyDescent="0.2">
      <c r="A323" s="48" t="str">
        <f>'Examens accrédités et ajouts'!A336</f>
        <v>HOPITAL CHARLES NICOLLE CHU ROUEN</v>
      </c>
      <c r="B323" s="48" t="str">
        <f>'Examens accrédités et ajouts'!B336</f>
        <v>Hématologie</v>
      </c>
      <c r="C323" s="48" t="str">
        <f>'Examens accrédités et ajouts'!E336</f>
        <v>Protéine C, activité amydolitique</v>
      </c>
      <c r="D323" s="48" t="str">
        <f>'Examens accrédités et ajouts'!F336</f>
        <v>Plasma</v>
      </c>
      <c r="E323" s="182" t="str">
        <f>'Examens accrédités et ajouts'!Q336</f>
        <v>BM CB02 _ A _ Dosage Chromogénique _ Quantitatif _ Automatisée _ 1 _ SYSMEX :
CN 3500</v>
      </c>
      <c r="F323" s="48" t="str">
        <f>'Examens accrédités et ajouts'!L336</f>
        <v>27594 v4</v>
      </c>
      <c r="G323" s="48">
        <f>'Examens accrédités et ajouts'!M336</f>
        <v>0</v>
      </c>
    </row>
    <row r="324" spans="1:7" hidden="1" x14ac:dyDescent="0.2">
      <c r="A324" s="48" t="str">
        <f>'Examens accrédités et ajouts'!A337</f>
        <v>HOPITAL CHARLES NICOLLE CHU ROUEN</v>
      </c>
      <c r="B324" s="48" t="str">
        <f>'Examens accrédités et ajouts'!B337</f>
        <v>Hématologie</v>
      </c>
      <c r="C324" s="48" t="str">
        <f>'Examens accrédités et ajouts'!E337</f>
        <v>Protéine S, activité</v>
      </c>
      <c r="D324" s="48" t="str">
        <f>'Examens accrédités et ajouts'!F337</f>
        <v>Plasma</v>
      </c>
      <c r="E324" s="182" t="str">
        <f>'Examens accrédités et ajouts'!Q337</f>
        <v>BM CB02 _ A _ Dosage Chronométrique _ Quantitatif _ Automatisée _ 1 _ STARMAX2
Diagnostica STAGO</v>
      </c>
      <c r="F324" s="48" t="str">
        <f>'Examens accrédités et ajouts'!L337</f>
        <v>27751 v3</v>
      </c>
      <c r="G324" s="48" t="str">
        <f>'Examens accrédités et ajouts'!M337</f>
        <v>Le 10/12/2024 mise en place du STARMAX 549 dans un autre secteur</v>
      </c>
    </row>
    <row r="325" spans="1:7" hidden="1" x14ac:dyDescent="0.2">
      <c r="A325" s="48" t="str">
        <f>'Examens accrédités et ajouts'!A338</f>
        <v>HOPITAL CHARLES NICOLLE CHU ROUEN</v>
      </c>
      <c r="B325" s="48" t="str">
        <f>'Examens accrédités et ajouts'!B338</f>
        <v>Hématologie</v>
      </c>
      <c r="C325" s="48" t="str">
        <f>'Examens accrédités et ajouts'!E338</f>
        <v>Protéine C, activité</v>
      </c>
      <c r="D325" s="48" t="str">
        <f>'Examens accrédités et ajouts'!F338</f>
        <v>Plasma</v>
      </c>
      <c r="E325" s="182" t="str">
        <f>'Examens accrédités et ajouts'!Q338</f>
        <v>BM CB02 _ A _ Dosage Chronométrique _ Quantitatif _ Automatisée _ 1 _ STARMAX2
Diagnostica STAGO</v>
      </c>
      <c r="F325" s="48" t="str">
        <f>'Examens accrédités et ajouts'!L338</f>
        <v>27750 v3</v>
      </c>
      <c r="G325" s="48" t="str">
        <f>'Examens accrédités et ajouts'!M338</f>
        <v>Le 10/12/2024 mise en place du STARMAX 549 dans un autre secteur</v>
      </c>
    </row>
    <row r="326" spans="1:7" hidden="1" x14ac:dyDescent="0.2">
      <c r="A326" s="48" t="str">
        <f>'Examens accrédités et ajouts'!A339</f>
        <v>HOPITAL CHARLES NICOLLE CHU ROUEN</v>
      </c>
      <c r="B326" s="48" t="str">
        <f>'Examens accrédités et ajouts'!B339</f>
        <v>Hématologie</v>
      </c>
      <c r="C326" s="48" t="str">
        <f>'Examens accrédités et ajouts'!E339</f>
        <v>Activité anti-Xa Arixtra</v>
      </c>
      <c r="D326" s="48" t="str">
        <f>'Examens accrédités et ajouts'!F339</f>
        <v>Plasma</v>
      </c>
      <c r="E326" s="182" t="str">
        <f>'Examens accrédités et ajouts'!Q339</f>
        <v xml:space="preserve">BM CB03 _ A _ Technique Colorimétrique _ Quantitatif _ Automatisée _ 2 _ STAR Max3 Diagnostica STAGO (chu)    </v>
      </c>
      <c r="F326" s="48" t="str">
        <f>'Examens accrédités et ajouts'!L339</f>
        <v>14905 v4</v>
      </c>
      <c r="G326" s="48" t="str">
        <f>'Examens accrédités et ajouts'!M339</f>
        <v>Nouveaux automates STARMAX3 à partir du 12/11/2024</v>
      </c>
    </row>
    <row r="327" spans="1:7" hidden="1" x14ac:dyDescent="0.2">
      <c r="A327" s="48" t="str">
        <f>'Examens accrédités et ajouts'!A340</f>
        <v>HOPITAL CHARLES NICOLLE CHU ROUEN</v>
      </c>
      <c r="B327" s="48" t="str">
        <f>'Examens accrédités et ajouts'!B340</f>
        <v>Hématologie</v>
      </c>
      <c r="C327" s="48" t="str">
        <f>'Examens accrédités et ajouts'!E340</f>
        <v>Activité anti-Xa Orgaran</v>
      </c>
      <c r="D327" s="48" t="str">
        <f>'Examens accrédités et ajouts'!F340</f>
        <v>Plasma</v>
      </c>
      <c r="E327" s="182" t="str">
        <f>'Examens accrédités et ajouts'!Q340</f>
        <v xml:space="preserve">BM CB03 _ A _ Technique Colorimétrique _ Quantitatif _ Automatisée _ 2 _ STAR Max3 Diagnostica STAGO (chu)    </v>
      </c>
      <c r="F327" s="48" t="str">
        <f>'Examens accrédités et ajouts'!L340</f>
        <v>14904 v5</v>
      </c>
      <c r="G327" s="48" t="str">
        <f>'Examens accrédités et ajouts'!M340</f>
        <v>Nouveaux automates STARMAX3 à partir du 12/11/2024</v>
      </c>
    </row>
    <row r="328" spans="1:7" hidden="1" x14ac:dyDescent="0.2">
      <c r="A328" s="48" t="str">
        <f>'Examens accrédités et ajouts'!A341</f>
        <v>HOPITAL CHARLES NICOLLE CHU ROUEN</v>
      </c>
      <c r="B328" s="48" t="str">
        <f>'Examens accrédités et ajouts'!B341</f>
        <v>Hématologie</v>
      </c>
      <c r="C328" s="48" t="str">
        <f>'Examens accrédités et ajouts'!E341</f>
        <v>Activité anti-Xa Héparine</v>
      </c>
      <c r="D328" s="48" t="str">
        <f>'Examens accrédités et ajouts'!F341</f>
        <v>Plasma</v>
      </c>
      <c r="E328" s="182" t="str">
        <f>'Examens accrédités et ajouts'!Q341</f>
        <v xml:space="preserve">BM CB03 _ A _ Technique Colorimétrique _ Quantitatif _ Automatisée _ 2 _ STAR Max3 Diagnostica STAGO (chu)    </v>
      </c>
      <c r="F328" s="48" t="str">
        <f>'Examens accrédités et ajouts'!L341</f>
        <v>14903 v4</v>
      </c>
      <c r="G328" s="48" t="str">
        <f>'Examens accrédités et ajouts'!M341</f>
        <v>Nouveaux automates STARMAX3 à partir du 12/11/2024</v>
      </c>
    </row>
    <row r="329" spans="1:7" hidden="1" x14ac:dyDescent="0.2">
      <c r="A329" s="48" t="str">
        <f>'Examens accrédités et ajouts'!A342</f>
        <v>HOPITAL CHARLES NICOLLE CHU ROUEN</v>
      </c>
      <c r="B329" s="48" t="str">
        <f>'Examens accrédités et ajouts'!B342</f>
        <v>Hématologie</v>
      </c>
      <c r="C329" s="48" t="str">
        <f>'Examens accrédités et ajouts'!E342</f>
        <v>Activité anti-Xa HBPM</v>
      </c>
      <c r="D329" s="48" t="str">
        <f>'Examens accrédités et ajouts'!F342</f>
        <v>Plasma</v>
      </c>
      <c r="E329" s="182" t="str">
        <f>'Examens accrédités et ajouts'!Q342</f>
        <v xml:space="preserve">BM CB03 _ A _ Technique Colorimétrique _ Quantitatif _ Automatisée _ 2 _ STAR Max3 Diagnostica STAGO (chu)    </v>
      </c>
      <c r="F329" s="48" t="str">
        <f>'Examens accrédités et ajouts'!L342</f>
        <v>14902 v4</v>
      </c>
      <c r="G329" s="48" t="str">
        <f>'Examens accrédités et ajouts'!M342</f>
        <v>Nouveaux automates STARMAX3 à partir du 12/11/2024</v>
      </c>
    </row>
    <row r="330" spans="1:7" hidden="1" x14ac:dyDescent="0.2">
      <c r="A330" s="48" t="str">
        <f>'Examens accrédités et ajouts'!A343</f>
        <v>HOPITAL CHARLES NICOLLE CHU ROUEN</v>
      </c>
      <c r="B330" s="48" t="str">
        <f>'Examens accrédités et ajouts'!B343</f>
        <v>Hématologie</v>
      </c>
      <c r="C330" s="48" t="str">
        <f>'Examens accrédités et ajouts'!E343</f>
        <v>Activité anti-Xa Apixaban (Eliquis)</v>
      </c>
      <c r="D330" s="48" t="str">
        <f>'Examens accrédités et ajouts'!F343</f>
        <v>Plasma</v>
      </c>
      <c r="E330" s="182" t="str">
        <f>'Examens accrédités et ajouts'!Q343</f>
        <v xml:space="preserve">BM CB03 _ A _ Technique Colorimétrique _ Quantitatif _ Automatisée _ 2 _ STAR Max3 Diagnostica STAGO (chu)    </v>
      </c>
      <c r="F330" s="48" t="str">
        <f>'Examens accrédités et ajouts'!L343</f>
        <v>24413 v4</v>
      </c>
      <c r="G330" s="48" t="str">
        <f>'Examens accrédités et ajouts'!M343</f>
        <v>Nouveaux automates STARMAX3 à partir du 12/11/2024</v>
      </c>
    </row>
    <row r="331" spans="1:7" hidden="1" x14ac:dyDescent="0.2">
      <c r="A331" s="48" t="str">
        <f>'Examens accrédités et ajouts'!A344</f>
        <v>HOPITAL CHARLES NICOLLE CHU ROUEN</v>
      </c>
      <c r="B331" s="48" t="str">
        <f>'Examens accrédités et ajouts'!B344</f>
        <v>Hématologie</v>
      </c>
      <c r="C331" s="48" t="str">
        <f>'Examens accrédités et ajouts'!E344</f>
        <v>Activité anti-Xa  Xarelto</v>
      </c>
      <c r="D331" s="48" t="str">
        <f>'Examens accrédités et ajouts'!F344</f>
        <v>Plasma</v>
      </c>
      <c r="E331" s="182" t="str">
        <f>'Examens accrédités et ajouts'!Q344</f>
        <v xml:space="preserve">BM CB03 _ A _ Technique Colorimétrique _ Quantitatif _ Automatisée _ 2 _ STAR Max3 Diagnostica STAGO (chu)    </v>
      </c>
      <c r="F331" s="48" t="str">
        <f>'Examens accrédités et ajouts'!L344</f>
        <v>24418 v3</v>
      </c>
      <c r="G331" s="48" t="str">
        <f>'Examens accrédités et ajouts'!M344</f>
        <v>Nouveaux automates STARMAX3 à partir du 12/11/2024</v>
      </c>
    </row>
    <row r="332" spans="1:7" hidden="1" x14ac:dyDescent="0.2">
      <c r="A332" s="48" t="str">
        <f>'Examens accrédités et ajouts'!A345</f>
        <v>HOPITAL CHARLES NICOLLE CHU ROUEN</v>
      </c>
      <c r="B332" s="48" t="str">
        <f>'Examens accrédités et ajouts'!B345</f>
        <v>Hématologie</v>
      </c>
      <c r="C332" s="48" t="str">
        <f>'Examens accrédités et ajouts'!E345</f>
        <v>DRVVT Recherche d'anticoagulants circulants sur temps de venin de vipère russel dilué</v>
      </c>
      <c r="D332" s="48" t="str">
        <f>'Examens accrédités et ajouts'!F345</f>
        <v>Plasma</v>
      </c>
      <c r="E332" s="182" t="str">
        <f>'Examens accrédités et ajouts'!Q345</f>
        <v>BM CB03 _ A _ Méthode chronométrique _ Quantitatif _ Automatisée _ 1 _ STAGO :
STARMAX 3</v>
      </c>
      <c r="F332" s="48" t="str">
        <f>'Examens accrédités et ajouts'!L345</f>
        <v>30529 v2</v>
      </c>
      <c r="G332" s="48">
        <f>'Examens accrédités et ajouts'!M345</f>
        <v>0</v>
      </c>
    </row>
    <row r="333" spans="1:7" hidden="1" x14ac:dyDescent="0.2">
      <c r="A333" s="48" t="str">
        <f>'Examens accrédités et ajouts'!A346</f>
        <v>HOPITAL CHARLES NICOLLE CHU ROUEN</v>
      </c>
      <c r="B333" s="48" t="str">
        <f>'Examens accrédités et ajouts'!B346</f>
        <v>Hématologie</v>
      </c>
      <c r="C333" s="48" t="str">
        <f>'Examens accrédités et ajouts'!E346</f>
        <v>ACCCK Recherche d'anticoagulants circulants sur TCA sensibilisé</v>
      </c>
      <c r="D333" s="48" t="str">
        <f>'Examens accrédités et ajouts'!F346</f>
        <v>Plasma</v>
      </c>
      <c r="E333" s="182" t="str">
        <f>'Examens accrédités et ajouts'!Q346</f>
        <v>BM CB03 _ A _ Méthode chronométrique _ Quantitatif _ Automatisée _ 1 _ STAGO :
STARMAX 3</v>
      </c>
      <c r="F333" s="48" t="str">
        <f>'Examens accrédités et ajouts'!L346</f>
        <v>30527 v2</v>
      </c>
      <c r="G333" s="48">
        <f>'Examens accrédités et ajouts'!M346</f>
        <v>0</v>
      </c>
    </row>
    <row r="334" spans="1:7" hidden="1" x14ac:dyDescent="0.2">
      <c r="A334" s="48" t="str">
        <f>'Examens accrédités et ajouts'!A347</f>
        <v>HOPITAL CHARLES NICOLLE CHU ROUEN</v>
      </c>
      <c r="B334" s="48" t="str">
        <f>'Examens accrédités et ajouts'!B347</f>
        <v>Hématologie</v>
      </c>
      <c r="C334" s="48" t="str">
        <f>'Examens accrédités et ajouts'!E347</f>
        <v>Agrégation plaquettaire à l'héparine (TIH)</v>
      </c>
      <c r="D334" s="48" t="str">
        <f>'Examens accrédités et ajouts'!F347</f>
        <v>Plasma</v>
      </c>
      <c r="E334" s="182" t="str">
        <f>'Examens accrédités et ajouts'!Q347</f>
        <v>BM CB05 _ B _ Agglutination sur agrégomètre : Photométrie Haute résolution à 740 nm _ Qualitative _ Automatisée _ 2 _ APACT4004
Servibio</v>
      </c>
      <c r="F334" s="48" t="str">
        <f>'Examens accrédités et ajouts'!L347</f>
        <v>30172 V1</v>
      </c>
      <c r="G334" s="48" t="str">
        <f>'Examens accrédités et ajouts'!M347</f>
        <v>extension 2019 auditée en mai 2024</v>
      </c>
    </row>
    <row r="335" spans="1:7" hidden="1" x14ac:dyDescent="0.2">
      <c r="A335" s="48" t="str">
        <f>'Examens accrédités et ajouts'!A348</f>
        <v>HOPITAL CHARLES NICOLLE CHU ROUEN</v>
      </c>
      <c r="B335" s="48" t="str">
        <f>'Examens accrédités et ajouts'!B348</f>
        <v>Hématologie</v>
      </c>
      <c r="C335" s="48" t="str">
        <f>'Examens accrédités et ajouts'!E348</f>
        <v>Anticorps anti-PF4 (STIC)</v>
      </c>
      <c r="D335" s="48" t="str">
        <f>'Examens accrédités et ajouts'!F348</f>
        <v>Plasma citraté</v>
      </c>
      <c r="E335" s="182" t="str">
        <f>'Examens accrédités et ajouts'!Q348</f>
        <v xml:space="preserve">BM CB05 _ A _ Immunodiffusion : test immunologique à flux latéral _ Qualitative _ Manuelle _  _ </v>
      </c>
      <c r="F335" s="48" t="str">
        <f>'Examens accrédités et ajouts'!L348</f>
        <v>42887 v1</v>
      </c>
      <c r="G335" s="48" t="str">
        <f>'Examens accrédités et ajouts'!M348</f>
        <v>ajout 27/06/25</v>
      </c>
    </row>
    <row r="336" spans="1:7" hidden="1" x14ac:dyDescent="0.2">
      <c r="A336" s="48" t="str">
        <f>'Examens accrédités et ajouts'!A349</f>
        <v>HOPITAL CHARLES NICOLLE CHU ROUEN</v>
      </c>
      <c r="B336" s="48" t="str">
        <f>'Examens accrédités et ajouts'!B349</f>
        <v>Hématologie</v>
      </c>
      <c r="C336" s="48" t="str">
        <f>'Examens accrédités et ajouts'!E349</f>
        <v>Anticorps anti-PF4 ELISA</v>
      </c>
      <c r="D336" s="48" t="str">
        <f>'Examens accrédités et ajouts'!F349</f>
        <v>Plasma</v>
      </c>
      <c r="E336" s="182" t="str">
        <f>'Examens accrédités et ajouts'!Q349</f>
        <v>BM CB05 _ A _ Méthode Elisa en phase solide _ Qualitative _ Manuelle _ 1 _ lecture des DO sur Biomek 3000 (Beckman coulter)</v>
      </c>
      <c r="F336" s="48" t="str">
        <f>'Examens accrédités et ajouts'!L349</f>
        <v>37075 v1</v>
      </c>
      <c r="G336" s="48" t="str">
        <f>'Examens accrédités et ajouts'!M349</f>
        <v>ajout après audit de mai 2024</v>
      </c>
    </row>
    <row r="337" spans="1:7" hidden="1" x14ac:dyDescent="0.2">
      <c r="A337" s="48" t="str">
        <f>'Examens accrédités et ajouts'!A350</f>
        <v>HOPITAL CHARLES NICOLLE CHU ROUEN</v>
      </c>
      <c r="B337" s="48" t="str">
        <f>'Examens accrédités et ajouts'!B350</f>
        <v>Hématologie</v>
      </c>
      <c r="C337" s="48" t="str">
        <f>'Examens accrédités et ajouts'!E350</f>
        <v>ADAMTS 13 activité</v>
      </c>
      <c r="D337" s="48" t="str">
        <f>'Examens accrédités et ajouts'!F350</f>
        <v>Plasma</v>
      </c>
      <c r="E337" s="182" t="str">
        <f>'Examens accrédités et ajouts'!Q350</f>
        <v>BM CB06 _ A _ Méthode ELISA Chromogénique _ Quantitatif _ Manuelle _ 1 _ lecture des DO sur Biomek 4000 (Beckman coulter)</v>
      </c>
      <c r="F337" s="48" t="str">
        <f>'Examens accrédités et ajouts'!L350</f>
        <v>28496 v1</v>
      </c>
      <c r="G337" s="48">
        <f>'Examens accrédités et ajouts'!M350</f>
        <v>0</v>
      </c>
    </row>
    <row r="338" spans="1:7" hidden="1" x14ac:dyDescent="0.2">
      <c r="A338" s="48" t="str">
        <f>'Examens accrédités et ajouts'!A351</f>
        <v>HOPITAL CHARLES NICOLLE CHU ROUEN</v>
      </c>
      <c r="B338" s="48" t="str">
        <f>'Examens accrédités et ajouts'!B351</f>
        <v>Hématologie</v>
      </c>
      <c r="C338" s="48" t="str">
        <f>'Examens accrédités et ajouts'!E351</f>
        <v>ADAMTS 13 inhibiteur (anti protéase willebrand)</v>
      </c>
      <c r="D338" s="48" t="str">
        <f>'Examens accrédités et ajouts'!F351</f>
        <v>Plasma</v>
      </c>
      <c r="E338" s="182" t="str">
        <f>'Examens accrédités et ajouts'!Q351</f>
        <v>BM CB06 _ A _ Méthode ELISA Chromogénique _ Quantitatif _ Manuelle _ 1 _ lecture des DO sur Biomek 4000 (Beckman coulter)</v>
      </c>
      <c r="F338" s="48" t="str">
        <f>'Examens accrédités et ajouts'!L351</f>
        <v>28494 v1</v>
      </c>
      <c r="G338" s="48">
        <f>'Examens accrédités et ajouts'!M351</f>
        <v>0</v>
      </c>
    </row>
    <row r="339" spans="1:7" hidden="1" x14ac:dyDescent="0.2">
      <c r="A339" s="48" t="str">
        <f>'Examens accrédités et ajouts'!A352</f>
        <v>HOPITAL CHARLES NICOLLE CHU ROUEN</v>
      </c>
      <c r="B339" s="48" t="str">
        <f>'Examens accrédités et ajouts'!B352</f>
        <v>Hématologie</v>
      </c>
      <c r="C339" s="48" t="str">
        <f>'Examens accrédités et ajouts'!E352</f>
        <v>Agrégation plaquettaire en présence d'acide arachidonique</v>
      </c>
      <c r="D339" s="48" t="str">
        <f>'Examens accrédités et ajouts'!F352</f>
        <v>Plasma</v>
      </c>
      <c r="E339" s="182" t="str">
        <f>'Examens accrédités et ajouts'!Q352</f>
        <v>BM CB06 _ B _ Agglutination sur agrégomètre : Photométrie Haute résolution à 740 nm _ Quantitative _ Automatisée _ 2 _ APACT4004
Servibio</v>
      </c>
      <c r="F339" s="48" t="str">
        <f>'Examens accrédités et ajouts'!L352</f>
        <v>30223 V1</v>
      </c>
      <c r="G339" s="48" t="str">
        <f>'Examens accrédités et ajouts'!M352</f>
        <v>extension 2019 auditée en mai 2024</v>
      </c>
    </row>
    <row r="340" spans="1:7" hidden="1" x14ac:dyDescent="0.2">
      <c r="A340" s="48" t="str">
        <f>'Examens accrédités et ajouts'!A353</f>
        <v>HOPITAL CHARLES NICOLLE CHU ROUEN</v>
      </c>
      <c r="B340" s="48" t="str">
        <f>'Examens accrédités et ajouts'!B353</f>
        <v>Hématologie</v>
      </c>
      <c r="C340" s="48" t="str">
        <f>'Examens accrédités et ajouts'!E353</f>
        <v>Agrégation plaquettaire en présence d'ADP</v>
      </c>
      <c r="D340" s="48" t="str">
        <f>'Examens accrédités et ajouts'!F353</f>
        <v>Plasma</v>
      </c>
      <c r="E340" s="182" t="str">
        <f>'Examens accrédités et ajouts'!Q353</f>
        <v>BM CB06 _ B _ Agglutination sur agrégomètre : Photométrie Haute résolution à 740 nm _ Quantitative _ Automatisée _ 2 _ APACT4004
Servibio</v>
      </c>
      <c r="F340" s="48" t="str">
        <f>'Examens accrédités et ajouts'!L353</f>
        <v>30223 V1</v>
      </c>
      <c r="G340" s="48" t="str">
        <f>'Examens accrédités et ajouts'!M353</f>
        <v>extension 2019 auditée en mai 2024</v>
      </c>
    </row>
    <row r="341" spans="1:7" hidden="1" x14ac:dyDescent="0.2">
      <c r="A341" s="48" t="str">
        <f>'Examens accrédités et ajouts'!A354</f>
        <v>HOPITAL CHARLES NICOLLE CHU ROUEN</v>
      </c>
      <c r="B341" s="48" t="str">
        <f>'Examens accrédités et ajouts'!B354</f>
        <v>Hématologie</v>
      </c>
      <c r="C341" s="48" t="str">
        <f>'Examens accrédités et ajouts'!E354</f>
        <v>Agrégation plaquettaire en présence d'Adrénaline (Epinéphrine)</v>
      </c>
      <c r="D341" s="48" t="str">
        <f>'Examens accrédités et ajouts'!F354</f>
        <v>Plasma</v>
      </c>
      <c r="E341" s="182" t="str">
        <f>'Examens accrédités et ajouts'!Q354</f>
        <v>BM CB06 _ B _ Agglutination sur agrégomètre : Photométrie Haute résolution à 740 nm _ Quantitative _ Automatisée _ 2 _ APACT4004
Servibio</v>
      </c>
      <c r="F341" s="48" t="str">
        <f>'Examens accrédités et ajouts'!L354</f>
        <v>30223 V1</v>
      </c>
      <c r="G341" s="48" t="str">
        <f>'Examens accrédités et ajouts'!M354</f>
        <v>extension 2019 auditée en mai 2024</v>
      </c>
    </row>
    <row r="342" spans="1:7" hidden="1" x14ac:dyDescent="0.2">
      <c r="A342" s="48" t="str">
        <f>'Examens accrédités et ajouts'!A355</f>
        <v>HOPITAL CHARLES NICOLLE CHU ROUEN</v>
      </c>
      <c r="B342" s="48" t="str">
        <f>'Examens accrédités et ajouts'!B355</f>
        <v>Hématologie</v>
      </c>
      <c r="C342" s="48" t="str">
        <f>'Examens accrédités et ajouts'!E355</f>
        <v>Agrégation plaquettaire en présence de Collagène</v>
      </c>
      <c r="D342" s="48" t="str">
        <f>'Examens accrédités et ajouts'!F355</f>
        <v>Plasma</v>
      </c>
      <c r="E342" s="182" t="str">
        <f>'Examens accrédités et ajouts'!Q355</f>
        <v>BM CB06 _ B _ Agglutination sur agrégomètre : Photométrie Haute résolution à 740 nm _ Quantitative _ Automatisée _ 2 _ APACT4004
Servibio</v>
      </c>
      <c r="F342" s="48" t="str">
        <f>'Examens accrédités et ajouts'!L355</f>
        <v>30223 V1</v>
      </c>
      <c r="G342" s="48" t="str">
        <f>'Examens accrédités et ajouts'!M355</f>
        <v>extension 2019 auditée en mai 2024</v>
      </c>
    </row>
    <row r="343" spans="1:7" hidden="1" x14ac:dyDescent="0.2">
      <c r="A343" s="48" t="str">
        <f>'Examens accrédités et ajouts'!A356</f>
        <v>HOPITAL CHARLES NICOLLE CHU ROUEN</v>
      </c>
      <c r="B343" s="48" t="str">
        <f>'Examens accrédités et ajouts'!B356</f>
        <v>Hématologie</v>
      </c>
      <c r="C343" s="48" t="str">
        <f>'Examens accrédités et ajouts'!E356</f>
        <v>Agrégation plaquettaire en présence de Ristocétine</v>
      </c>
      <c r="D343" s="48" t="str">
        <f>'Examens accrédités et ajouts'!F356</f>
        <v>Plasma</v>
      </c>
      <c r="E343" s="182" t="str">
        <f>'Examens accrédités et ajouts'!Q356</f>
        <v>BM CB06 _ B _ Agglutination sur agrégomètre : Photométrie Haute résolution à 740 nm _ Quantitative _ Automatisée _ 2 _ APACT4004
Servibio</v>
      </c>
      <c r="F343" s="48" t="str">
        <f>'Examens accrédités et ajouts'!L356</f>
        <v>30223 V1</v>
      </c>
      <c r="G343" s="48" t="str">
        <f>'Examens accrédités et ajouts'!M356</f>
        <v>extension 2019 auditée en mai 2024</v>
      </c>
    </row>
    <row r="344" spans="1:7" hidden="1" x14ac:dyDescent="0.2">
      <c r="A344" s="48" t="str">
        <f>'Examens accrédités et ajouts'!A357</f>
        <v>HOPITAL CHARLES NICOLLE CHU ROUEN</v>
      </c>
      <c r="B344" s="48" t="str">
        <f>'Examens accrédités et ajouts'!B357</f>
        <v>Immunologie</v>
      </c>
      <c r="C344" s="48" t="str">
        <f>'Examens accrédités et ajouts'!E357</f>
        <v xml:space="preserve">Allergologie IgE spécifiques </v>
      </c>
      <c r="D344" s="48" t="str">
        <f>'Examens accrédités et ajouts'!F357</f>
        <v>Sang</v>
      </c>
      <c r="E344" s="182" t="str">
        <f>'Examens accrédités et ajouts'!Q357</f>
        <v>BM AB01 _ A _ FEIA _ Quantitatif _ Automatisée _ 1 _ UNICAP 250, Phadia</v>
      </c>
      <c r="F344" s="48" t="str">
        <f>'Examens accrédités et ajouts'!L357</f>
        <v>16855 v3
liste allergènes réf 28941</v>
      </c>
      <c r="G344" s="48">
        <f>'Examens accrédités et ajouts'!M357</f>
        <v>0</v>
      </c>
    </row>
    <row r="345" spans="1:7" hidden="1" x14ac:dyDescent="0.2">
      <c r="A345" s="48" t="str">
        <f>'Examens accrédités et ajouts'!A358</f>
        <v>HOPITAL CHARLES NICOLLE CHU ROUEN</v>
      </c>
      <c r="B345" s="48" t="str">
        <f>'Examens accrédités et ajouts'!B358</f>
        <v>Immunologie</v>
      </c>
      <c r="C345" s="48" t="str">
        <f>'Examens accrédités et ajouts'!E358</f>
        <v>Allergologie IgE totaux</v>
      </c>
      <c r="D345" s="48" t="str">
        <f>'Examens accrédités et ajouts'!F358</f>
        <v>Sang</v>
      </c>
      <c r="E345" s="182" t="str">
        <f>'Examens accrédités et ajouts'!Q358</f>
        <v>BM AB01 _ A _ FEIA _ Quantitatif _ Automatisée _ 1 _ UNICAP 250, Phadia</v>
      </c>
      <c r="F345" s="48" t="str">
        <f>'Examens accrédités et ajouts'!L358</f>
        <v>13314 v4</v>
      </c>
      <c r="G345" s="48">
        <f>'Examens accrédités et ajouts'!M358</f>
        <v>0</v>
      </c>
    </row>
    <row r="346" spans="1:7" hidden="1" x14ac:dyDescent="0.2">
      <c r="A346" s="48" t="str">
        <f>'Examens accrédités et ajouts'!A359</f>
        <v>HOPITAL CHARLES NICOLLE CHU ROUEN</v>
      </c>
      <c r="B346" s="48" t="str">
        <f>'Examens accrédités et ajouts'!B359</f>
        <v>Immunologie</v>
      </c>
      <c r="C346" s="48" t="str">
        <f>'Examens accrédités et ajouts'!E359</f>
        <v>Tryptases</v>
      </c>
      <c r="D346" s="48" t="str">
        <f>'Examens accrédités et ajouts'!F359</f>
        <v>Sang</v>
      </c>
      <c r="E346" s="182" t="str">
        <f>'Examens accrédités et ajouts'!Q359</f>
        <v>BM AB03 _ A _ Enzymatique et Immuno-enzymatique _ Quantitatif _ Automatisée _ 1 _ UNICAP 250</v>
      </c>
      <c r="F346" s="48" t="str">
        <f>'Examens accrédités et ajouts'!L359</f>
        <v>16856 v3</v>
      </c>
      <c r="G346" s="48">
        <f>'Examens accrédités et ajouts'!M359</f>
        <v>0</v>
      </c>
    </row>
    <row r="347" spans="1:7" hidden="1" x14ac:dyDescent="0.2">
      <c r="A347" s="48" t="str">
        <f>'Examens accrédités et ajouts'!A360</f>
        <v>HOPITAL CHARLES NICOLLE CHU ROUEN</v>
      </c>
      <c r="B347" s="48" t="str">
        <f>'Examens accrédités et ajouts'!B360</f>
        <v>Immunologie</v>
      </c>
      <c r="C347" s="48" t="str">
        <f>'Examens accrédités et ajouts'!E360</f>
        <v>Anticorps des myosites</v>
      </c>
      <c r="D347" s="48" t="str">
        <f>'Examens accrédités et ajouts'!F360</f>
        <v>Sang</v>
      </c>
      <c r="E347" s="182" t="str">
        <f>'Examens accrédités et ajouts'!Q360</f>
        <v>BM AI01 _ A _ Immunodot _ Qualitatif _ Automatisée _ 2 _ EuroblotMaster
EuroblotOne</v>
      </c>
      <c r="F347" s="48" t="str">
        <f>'Examens accrédités et ajouts'!L360</f>
        <v>28434 v4</v>
      </c>
      <c r="G347" s="48">
        <f>'Examens accrédités et ajouts'!M360</f>
        <v>0</v>
      </c>
    </row>
    <row r="348" spans="1:7" hidden="1" x14ac:dyDescent="0.2">
      <c r="A348" s="48" t="str">
        <f>'Examens accrédités et ajouts'!A361</f>
        <v>HOPITAL CHARLES NICOLLE CHU ROUEN</v>
      </c>
      <c r="B348" s="48" t="str">
        <f>'Examens accrédités et ajouts'!B361</f>
        <v>Immunologie</v>
      </c>
      <c r="C348" s="48" t="str">
        <f>'Examens accrédités et ajouts'!E361</f>
        <v>Anticorps anti-BP180 (BPAG2)</v>
      </c>
      <c r="D348" s="48" t="str">
        <f>'Examens accrédités et ajouts'!F361</f>
        <v>Sang</v>
      </c>
      <c r="E348" s="182" t="str">
        <f>'Examens accrédités et ajouts'!Q361</f>
        <v>BM AI01 _ A _ ELISA _ Quantitatif _ Automatisée _ 1 _ EVOLIS, Biorad</v>
      </c>
      <c r="F348" s="48" t="str">
        <f>'Examens accrédités et ajouts'!L361</f>
        <v>14348 v2</v>
      </c>
      <c r="G348" s="48">
        <f>'Examens accrédités et ajouts'!M361</f>
        <v>0</v>
      </c>
    </row>
    <row r="349" spans="1:7" hidden="1" x14ac:dyDescent="0.2">
      <c r="A349" s="48" t="str">
        <f>'Examens accrédités et ajouts'!A362</f>
        <v>HOPITAL CHARLES NICOLLE CHU ROUEN</v>
      </c>
      <c r="B349" s="48" t="str">
        <f>'Examens accrédités et ajouts'!B362</f>
        <v>Immunologie</v>
      </c>
      <c r="C349" s="48" t="str">
        <f>'Examens accrédités et ajouts'!E362</f>
        <v>Anticorps anti-CCP</v>
      </c>
      <c r="D349" s="48" t="str">
        <f>'Examens accrédités et ajouts'!F362</f>
        <v>Sang</v>
      </c>
      <c r="E349" s="182" t="str">
        <f>'Examens accrédités et ajouts'!Q362</f>
        <v>BM AI01 _ A _ FEIA _ Quantitatif _ Automatisée _ 2 _ UNICAP 250, Phadia-Thermo Fischer</v>
      </c>
      <c r="F349" s="48" t="str">
        <f>'Examens accrédités et ajouts'!L362</f>
        <v>10439 v5
38103 v1</v>
      </c>
      <c r="G349" s="48">
        <f>'Examens accrédités et ajouts'!M362</f>
        <v>0</v>
      </c>
    </row>
    <row r="350" spans="1:7" hidden="1" x14ac:dyDescent="0.2">
      <c r="A350" s="48" t="str">
        <f>'Examens accrédités et ajouts'!A363</f>
        <v>HOPITAL CHARLES NICOLLE CHU ROUEN</v>
      </c>
      <c r="B350" s="48" t="str">
        <f>'Examens accrédités et ajouts'!B363</f>
        <v>Immunologie</v>
      </c>
      <c r="C350" s="48" t="str">
        <f>'Examens accrédités et ajouts'!E363</f>
        <v>Anticorps anti-desmogléine 1</v>
      </c>
      <c r="D350" s="48" t="str">
        <f>'Examens accrédités et ajouts'!F363</f>
        <v>Sang</v>
      </c>
      <c r="E350" s="182" t="str">
        <f>'Examens accrédités et ajouts'!Q363</f>
        <v>BM AI01 _ A _ ELISA _ Quantitatif _ Automatisée _ 1 _ EVOLIS, Biorad</v>
      </c>
      <c r="F350" s="48" t="str">
        <f>'Examens accrédités et ajouts'!L363</f>
        <v>14345 v3</v>
      </c>
      <c r="G350" s="48">
        <f>'Examens accrédités et ajouts'!M363</f>
        <v>0</v>
      </c>
    </row>
    <row r="351" spans="1:7" hidden="1" x14ac:dyDescent="0.2">
      <c r="A351" s="48" t="str">
        <f>'Examens accrédités et ajouts'!A364</f>
        <v>HOPITAL CHARLES NICOLLE CHU ROUEN</v>
      </c>
      <c r="B351" s="48" t="str">
        <f>'Examens accrédités et ajouts'!B364</f>
        <v>Immunologie</v>
      </c>
      <c r="C351" s="48" t="str">
        <f>'Examens accrédités et ajouts'!E364</f>
        <v>Anticorps anti-saccharomyces cerevisiae IgG</v>
      </c>
      <c r="D351" s="48" t="str">
        <f>'Examens accrédités et ajouts'!F364</f>
        <v>Sang</v>
      </c>
      <c r="E351" s="182" t="str">
        <f>'Examens accrédités et ajouts'!Q364</f>
        <v>BM AI01 _ A _ FEIA _ Quantitatif _ Automatisée _ 2 _ UNICAP 250, Phadia-Thermo Fischer</v>
      </c>
      <c r="F351" s="48" t="str">
        <f>'Examens accrédités et ajouts'!L364</f>
        <v>14343 v3
38108 v1</v>
      </c>
      <c r="G351" s="48">
        <f>'Examens accrédités et ajouts'!M364</f>
        <v>0</v>
      </c>
    </row>
    <row r="352" spans="1:7" hidden="1" x14ac:dyDescent="0.2">
      <c r="A352" s="48" t="str">
        <f>'Examens accrédités et ajouts'!A365</f>
        <v>HOPITAL CHARLES NICOLLE CHU ROUEN</v>
      </c>
      <c r="B352" s="48" t="str">
        <f>'Examens accrédités et ajouts'!B365</f>
        <v>Immunologie</v>
      </c>
      <c r="C352" s="48" t="str">
        <f>'Examens accrédités et ajouts'!E365</f>
        <v>Anticorps anti-tissus transglutaminase IgA</v>
      </c>
      <c r="D352" s="48" t="str">
        <f>'Examens accrédités et ajouts'!F365</f>
        <v>Sang</v>
      </c>
      <c r="E352" s="182" t="str">
        <f>'Examens accrédités et ajouts'!Q365</f>
        <v>BM AI01 _ A _ FEIA _ Quantitatif _ Automatisée _ 2 _ UNICAP 250, Phadia-Thermo Fischer</v>
      </c>
      <c r="F352" s="48" t="str">
        <f>'Examens accrédités et ajouts'!L365</f>
        <v>10440 v3
38112 v1</v>
      </c>
      <c r="G352" s="48">
        <f>'Examens accrédités et ajouts'!M365</f>
        <v>0</v>
      </c>
    </row>
    <row r="353" spans="1:7" hidden="1" x14ac:dyDescent="0.2">
      <c r="A353" s="48" t="str">
        <f>'Examens accrédités et ajouts'!A366</f>
        <v>HOPITAL CHARLES NICOLLE CHU ROUEN</v>
      </c>
      <c r="B353" s="48" t="str">
        <f>'Examens accrédités et ajouts'!B366</f>
        <v>Immunologie</v>
      </c>
      <c r="C353" s="48" t="str">
        <f>'Examens accrédités et ajouts'!E366</f>
        <v>Anticorps anti-membrane basale glomérulaire</v>
      </c>
      <c r="D353" s="48" t="str">
        <f>'Examens accrédités et ajouts'!F366</f>
        <v>Sang</v>
      </c>
      <c r="E353" s="182" t="str">
        <f>'Examens accrédités et ajouts'!Q366</f>
        <v>BM AI01 _ A _ Chimioluminescence
et
FEIA _ Quantitatif _ Automatisée _ 2 _ BIOFLASH, Inova
et
UNICAP 250, Phadia-Thermo Fischer</v>
      </c>
      <c r="F353" s="48" t="str">
        <f>'Examens accrédités et ajouts'!L366</f>
        <v>22280 v2
10441 v4
38111 v1</v>
      </c>
      <c r="G353" s="48">
        <f>'Examens accrédités et ajouts'!M366</f>
        <v>0</v>
      </c>
    </row>
    <row r="354" spans="1:7" hidden="1" x14ac:dyDescent="0.2">
      <c r="A354" s="48" t="str">
        <f>'Examens accrédités et ajouts'!A367</f>
        <v>HOPITAL CHARLES NICOLLE CHU ROUEN</v>
      </c>
      <c r="B354" s="48" t="str">
        <f>'Examens accrédités et ajouts'!B367</f>
        <v>Immunologie</v>
      </c>
      <c r="C354" s="48" t="str">
        <f>'Examens accrédités et ajouts'!E367</f>
        <v>Anticorps anti-saccharomyces cerevisiae IgA</v>
      </c>
      <c r="D354" s="48" t="str">
        <f>'Examens accrédités et ajouts'!F367</f>
        <v>Sang</v>
      </c>
      <c r="E354" s="182" t="str">
        <f>'Examens accrédités et ajouts'!Q367</f>
        <v>BM AI01 _ A _ FEIA _ Quantitatif _ Automatisée _ 2 _ UNICAP 250, Phadia-Thermo Fischer</v>
      </c>
      <c r="F354" s="48" t="str">
        <f>'Examens accrédités et ajouts'!L367</f>
        <v>14344 v3
38106 v1</v>
      </c>
      <c r="G354" s="48">
        <f>'Examens accrédités et ajouts'!M367</f>
        <v>0</v>
      </c>
    </row>
    <row r="355" spans="1:7" hidden="1" x14ac:dyDescent="0.2">
      <c r="A355" s="48" t="str">
        <f>'Examens accrédités et ajouts'!A368</f>
        <v>HOPITAL CHARLES NICOLLE CHU ROUEN</v>
      </c>
      <c r="B355" s="48" t="str">
        <f>'Examens accrédités et ajouts'!B368</f>
        <v>Immunologie</v>
      </c>
      <c r="C355" s="48" t="str">
        <f>'Examens accrédités et ajouts'!E368</f>
        <v>Anticorps anti-thyroperoxydase</v>
      </c>
      <c r="D355" s="48" t="str">
        <f>'Examens accrédités et ajouts'!F368</f>
        <v>Sang</v>
      </c>
      <c r="E355" s="182" t="str">
        <f>'Examens accrédités et ajouts'!Q368</f>
        <v>BM AI01 _ A _ FEIA _ Quantitatif _ Automatisée _ 2 _ UNICAP 250, Phadia- Thermo Fischer</v>
      </c>
      <c r="F355" s="48" t="str">
        <f>'Examens accrédités et ajouts'!L368</f>
        <v>10442 v4
38105 v1</v>
      </c>
      <c r="G355" s="48">
        <f>'Examens accrédités et ajouts'!M368</f>
        <v>0</v>
      </c>
    </row>
    <row r="356" spans="1:7" hidden="1" x14ac:dyDescent="0.2">
      <c r="A356" s="48" t="str">
        <f>'Examens accrédités et ajouts'!A369</f>
        <v>HOPITAL CHARLES NICOLLE CHU ROUEN</v>
      </c>
      <c r="B356" s="48" t="str">
        <f>'Examens accrédités et ajouts'!B369</f>
        <v>Immunologie</v>
      </c>
      <c r="C356" s="48" t="str">
        <f>'Examens accrédités et ajouts'!E369</f>
        <v>Anticorps anti-ADN double brin</v>
      </c>
      <c r="D356" s="48" t="str">
        <f>'Examens accrédités et ajouts'!F369</f>
        <v>Sang</v>
      </c>
      <c r="E356" s="182" t="str">
        <f>'Examens accrédités et ajouts'!Q369</f>
        <v>BM AI01 _ A _ FEIA _ Quantitatif _ Automatisée _ 2 _ UNICAP 250, Phadia-Thermo Fischer</v>
      </c>
      <c r="F356" s="48" t="str">
        <f>'Examens accrédités et ajouts'!L369</f>
        <v>10438 v4
38102 v1</v>
      </c>
      <c r="G356" s="48">
        <f>'Examens accrédités et ajouts'!M369</f>
        <v>0</v>
      </c>
    </row>
    <row r="357" spans="1:7" hidden="1" x14ac:dyDescent="0.2">
      <c r="A357" s="48" t="str">
        <f>'Examens accrédités et ajouts'!A370</f>
        <v>HOPITAL CHARLES NICOLLE CHU ROUEN</v>
      </c>
      <c r="B357" s="48" t="str">
        <f>'Examens accrédités et ajouts'!B370</f>
        <v>Immunologie</v>
      </c>
      <c r="C357" s="48" t="str">
        <f>'Examens accrédités et ajouts'!E370</f>
        <v>Anticorps anti-myéloperoxydase</v>
      </c>
      <c r="D357" s="48" t="str">
        <f>'Examens accrédités et ajouts'!F370</f>
        <v>Sang</v>
      </c>
      <c r="E357" s="182" t="str">
        <f>'Examens accrédités et ajouts'!Q370</f>
        <v>BM AI01 _ A _ Chimioluminescence
et
FEIA _ Quantitatif _ Automatisée _ 2 _ BIOFLASH, Inova
et
UNICAP 250, Phadia-Thermo Fischer</v>
      </c>
      <c r="F357" s="48" t="str">
        <f>'Examens accrédités et ajouts'!L370</f>
        <v>14337 v3
10445 v3
38109 v1</v>
      </c>
      <c r="G357" s="48">
        <f>'Examens accrédités et ajouts'!M370</f>
        <v>0</v>
      </c>
    </row>
    <row r="358" spans="1:7" hidden="1" x14ac:dyDescent="0.2">
      <c r="A358" s="48" t="str">
        <f>'Examens accrédités et ajouts'!A371</f>
        <v>HOPITAL CHARLES NICOLLE CHU ROUEN</v>
      </c>
      <c r="B358" s="48" t="str">
        <f>'Examens accrédités et ajouts'!B371</f>
        <v>Immunologie</v>
      </c>
      <c r="C358" s="48" t="str">
        <f>'Examens accrédités et ajouts'!E371</f>
        <v xml:space="preserve">Anticorps anti-nucléaire </v>
      </c>
      <c r="D358" s="48" t="str">
        <f>'Examens accrédités et ajouts'!F371</f>
        <v>Sang</v>
      </c>
      <c r="E358" s="182" t="str">
        <f>'Examens accrédités et ajouts'!Q371</f>
        <v>BM AI01 _ B _ Immunofluorescence Indirecte _ Qualitatif _ Semi-automatisée _ 2 _ PhD Biorad</v>
      </c>
      <c r="F358" s="48" t="str">
        <f>'Examens accrédités et ajouts'!L371</f>
        <v xml:space="preserve">8220 v5
</v>
      </c>
      <c r="G358" s="48">
        <f>'Examens accrédités et ajouts'!M371</f>
        <v>0</v>
      </c>
    </row>
    <row r="359" spans="1:7" hidden="1" x14ac:dyDescent="0.2">
      <c r="A359" s="48" t="str">
        <f>'Examens accrédités et ajouts'!A372</f>
        <v>HOPITAL CHARLES NICOLLE CHU ROUEN</v>
      </c>
      <c r="B359" s="48" t="str">
        <f>'Examens accrédités et ajouts'!B372</f>
        <v>Immunologie</v>
      </c>
      <c r="C359" s="48" t="str">
        <f>'Examens accrédités et ajouts'!E372</f>
        <v>Anticorps anti-BP230 (BPAG1)</v>
      </c>
      <c r="D359" s="48" t="str">
        <f>'Examens accrédités et ajouts'!F372</f>
        <v>Sang</v>
      </c>
      <c r="E359" s="182" t="str">
        <f>'Examens accrédités et ajouts'!Q372</f>
        <v>BM AI01 _ A _ ELISA _ Quantitatif _ Automatisée _ 1 _ EVOLIS, Biorad</v>
      </c>
      <c r="F359" s="48" t="str">
        <f>'Examens accrédités et ajouts'!L372</f>
        <v>14347 v2</v>
      </c>
      <c r="G359" s="48">
        <f>'Examens accrédités et ajouts'!M372</f>
        <v>0</v>
      </c>
    </row>
    <row r="360" spans="1:7" hidden="1" x14ac:dyDescent="0.2">
      <c r="A360" s="48" t="str">
        <f>'Examens accrédités et ajouts'!A373</f>
        <v>HOPITAL CHARLES NICOLLE CHU ROUEN</v>
      </c>
      <c r="B360" s="48" t="str">
        <f>'Examens accrédités et ajouts'!B373</f>
        <v>Immunologie</v>
      </c>
      <c r="C360" s="48" t="str">
        <f>'Examens accrédités et ajouts'!E373</f>
        <v>Anticorps anti-thyroglobuline</v>
      </c>
      <c r="D360" s="48" t="str">
        <f>'Examens accrédités et ajouts'!F373</f>
        <v>Sang</v>
      </c>
      <c r="E360" s="182" t="str">
        <f>'Examens accrédités et ajouts'!Q373</f>
        <v>BM AI01 _ A _ FEIA _ Quantitatif _ Automatisée _ 2 _ UNICAP 250, Phadia-Thermo Fischer</v>
      </c>
      <c r="F360" s="48" t="str">
        <f>'Examens accrédités et ajouts'!L373</f>
        <v>10443 v4
38104 v1</v>
      </c>
      <c r="G360" s="48">
        <f>'Examens accrédités et ajouts'!M373</f>
        <v>0</v>
      </c>
    </row>
    <row r="361" spans="1:7" hidden="1" x14ac:dyDescent="0.2">
      <c r="A361" s="48" t="str">
        <f>'Examens accrédités et ajouts'!A374</f>
        <v>HOPITAL CHARLES NICOLLE CHU ROUEN</v>
      </c>
      <c r="B361" s="48" t="str">
        <f>'Examens accrédités et ajouts'!B374</f>
        <v>Immunologie</v>
      </c>
      <c r="C361" s="48" t="str">
        <f>'Examens accrédités et ajouts'!E374</f>
        <v>Anticorps anti-desmogléine 3</v>
      </c>
      <c r="D361" s="48" t="str">
        <f>'Examens accrédités et ajouts'!F374</f>
        <v>Sang</v>
      </c>
      <c r="E361" s="182" t="str">
        <f>'Examens accrédités et ajouts'!Q374</f>
        <v>BM AI01 _ A _ ELISA _ Quantitatif _ Automatisée _ 1 _ EVOLIS, Biorad</v>
      </c>
      <c r="F361" s="48" t="str">
        <f>'Examens accrédités et ajouts'!L374</f>
        <v>14346 v2</v>
      </c>
      <c r="G361" s="48">
        <f>'Examens accrédités et ajouts'!M374</f>
        <v>0</v>
      </c>
    </row>
    <row r="362" spans="1:7" hidden="1" x14ac:dyDescent="0.2">
      <c r="A362" s="48" t="str">
        <f>'Examens accrédités et ajouts'!A375</f>
        <v>HOPITAL CHARLES NICOLLE CHU ROUEN</v>
      </c>
      <c r="B362" s="48" t="str">
        <f>'Examens accrédités et ajouts'!B375</f>
        <v>Immunologie</v>
      </c>
      <c r="C362" s="48" t="str">
        <f>'Examens accrédités et ajouts'!E375</f>
        <v xml:space="preserve">Anticorps anti-protéinase3
</v>
      </c>
      <c r="D362" s="48" t="str">
        <f>'Examens accrédités et ajouts'!F375</f>
        <v>Sang</v>
      </c>
      <c r="E362" s="182" t="str">
        <f>'Examens accrédités et ajouts'!Q375</f>
        <v xml:space="preserve">BM AI01 _ A _ Chimioluminescence
et
FEIA _ Quantitatif _ Automatisée _ 2 _ BIOFLASH, Inova
et
UNICAP 250, Phadia-Thermo Fischer
</v>
      </c>
      <c r="F362" s="48" t="str">
        <f>'Examens accrédités et ajouts'!L375</f>
        <v>14338 v3
10444 v3
38810 v1</v>
      </c>
      <c r="G362" s="48">
        <f>'Examens accrédités et ajouts'!M375</f>
        <v>0</v>
      </c>
    </row>
    <row r="363" spans="1:7" hidden="1" x14ac:dyDescent="0.2">
      <c r="A363" s="48" t="str">
        <f>'Examens accrédités et ajouts'!A376</f>
        <v>HOPITAL CHARLES NICOLLE CHU ROUEN</v>
      </c>
      <c r="B363" s="48" t="str">
        <f>'Examens accrédités et ajouts'!B376</f>
        <v>Immunologie</v>
      </c>
      <c r="C363" s="48" t="str">
        <f>'Examens accrédités et ajouts'!E376</f>
        <v xml:space="preserve">Anticorps anti-épiderme en IFI </v>
      </c>
      <c r="D363" s="48" t="str">
        <f>'Examens accrédités et ajouts'!F376</f>
        <v>Sang</v>
      </c>
      <c r="E363" s="182" t="str">
        <f>'Examens accrédités et ajouts'!Q376</f>
        <v>BM AI01 _ B _ Immunofluorescence Indirecte _ Qualitatif _ Semi-automatisée _ 2 _ PhD Biorad</v>
      </c>
      <c r="F363" s="48" t="str">
        <f>'Examens accrédités et ajouts'!L376</f>
        <v>16533 v2</v>
      </c>
      <c r="G363" s="48">
        <f>'Examens accrédités et ajouts'!M376</f>
        <v>0</v>
      </c>
    </row>
    <row r="364" spans="1:7" hidden="1" x14ac:dyDescent="0.2">
      <c r="A364" s="48" t="str">
        <f>'Examens accrédités et ajouts'!A377</f>
        <v>HOPITAL CHARLES NICOLLE CHU ROUEN</v>
      </c>
      <c r="B364" s="48" t="str">
        <f>'Examens accrédités et ajouts'!B377</f>
        <v>Immunologie</v>
      </c>
      <c r="C364" s="48" t="str">
        <f>'Examens accrédités et ajouts'!E377</f>
        <v>Anticorps anti-antigène nucléaire soluble (anti-RO52, anti-RO60, anti-SSB, anti-Sm, anti-RNP, anti-JO1, anti-Scl70)</v>
      </c>
      <c r="D364" s="48" t="str">
        <f>'Examens accrédités et ajouts'!F377</f>
        <v>Sang</v>
      </c>
      <c r="E364" s="182" t="str">
        <f>'Examens accrédités et ajouts'!Q377</f>
        <v xml:space="preserve">BM AI01 _ A _ Chimioluminescence _ Quantitatif _ Automatisée _ 1 _ BIOFLASH, Inova
</v>
      </c>
      <c r="F364" s="48" t="str">
        <f>'Examens accrédités et ajouts'!L377</f>
        <v>24015 v1
24016 v1
24017 v1
24018 v1
24020 v1
24021 v1
24022 v1
24023 v1</v>
      </c>
      <c r="G364" s="48">
        <f>'Examens accrédités et ajouts'!M377</f>
        <v>0</v>
      </c>
    </row>
    <row r="365" spans="1:7" hidden="1" x14ac:dyDescent="0.2">
      <c r="A365" s="48" t="str">
        <f>'Examens accrédités et ajouts'!A378</f>
        <v>HOPITAL CHARLES NICOLLE CHU ROUEN</v>
      </c>
      <c r="B365" s="48" t="str">
        <f>'Examens accrédités et ajouts'!B378</f>
        <v>Immunologie</v>
      </c>
      <c r="C365" s="48" t="str">
        <f>'Examens accrédités et ajouts'!E378</f>
        <v>Anticorps anti-cardiolipine IgG</v>
      </c>
      <c r="D365" s="48" t="str">
        <f>'Examens accrédités et ajouts'!F378</f>
        <v>Sang</v>
      </c>
      <c r="E365" s="182" t="str">
        <f>'Examens accrédités et ajouts'!Q378</f>
        <v xml:space="preserve">BM AI01 _ A _ Chimioluminescence _ Quantitatif _ Automatisée _ 1 _ BIOFLASH, Inova
</v>
      </c>
      <c r="F365" s="48" t="str">
        <f>'Examens accrédités et ajouts'!L378</f>
        <v>14339 v3</v>
      </c>
      <c r="G365" s="48">
        <f>'Examens accrédités et ajouts'!M378</f>
        <v>0</v>
      </c>
    </row>
    <row r="366" spans="1:7" hidden="1" x14ac:dyDescent="0.2">
      <c r="A366" s="48" t="str">
        <f>'Examens accrédités et ajouts'!A379</f>
        <v>HOPITAL CHARLES NICOLLE CHU ROUEN</v>
      </c>
      <c r="B366" s="48" t="str">
        <f>'Examens accrédités et ajouts'!B379</f>
        <v>Immunologie</v>
      </c>
      <c r="C366" s="48" t="str">
        <f>'Examens accrédités et ajouts'!E379</f>
        <v>Anticorps anti-cardiolipine IgM</v>
      </c>
      <c r="D366" s="48" t="str">
        <f>'Examens accrédités et ajouts'!F379</f>
        <v>Sang</v>
      </c>
      <c r="E366" s="182" t="str">
        <f>'Examens accrédités et ajouts'!Q379</f>
        <v xml:space="preserve">BM AI01 _ A _ Chimioluminescence _ Quantitatif _ Automatisée _ 1 _ BIOFLASH, Inova
</v>
      </c>
      <c r="F366" s="48" t="str">
        <f>'Examens accrédités et ajouts'!L379</f>
        <v>14340 v3</v>
      </c>
      <c r="G366" s="48">
        <f>'Examens accrédités et ajouts'!M379</f>
        <v>0</v>
      </c>
    </row>
    <row r="367" spans="1:7" hidden="1" x14ac:dyDescent="0.2">
      <c r="A367" s="48" t="str">
        <f>'Examens accrédités et ajouts'!A380</f>
        <v>HOPITAL CHARLES NICOLLE CHU ROUEN</v>
      </c>
      <c r="B367" s="48" t="str">
        <f>'Examens accrédités et ajouts'!B380</f>
        <v>Immunologie</v>
      </c>
      <c r="C367" s="48" t="str">
        <f>'Examens accrédités et ajouts'!E380</f>
        <v>Anticorps anti-béta2 glycoprotéine 1 IgG</v>
      </c>
      <c r="D367" s="48" t="str">
        <f>'Examens accrédités et ajouts'!F380</f>
        <v>Sang</v>
      </c>
      <c r="E367" s="182" t="str">
        <f>'Examens accrédités et ajouts'!Q380</f>
        <v xml:space="preserve">BM AI01 _ A _ Chimioluminescence _ Quantitatif _ Automatisée _ 1 _ BIOFLASH, Inova
</v>
      </c>
      <c r="F367" s="48" t="str">
        <f>'Examens accrédités et ajouts'!L380</f>
        <v>14341 v3</v>
      </c>
      <c r="G367" s="48">
        <f>'Examens accrédités et ajouts'!M380</f>
        <v>0</v>
      </c>
    </row>
    <row r="368" spans="1:7" hidden="1" x14ac:dyDescent="0.2">
      <c r="A368" s="48" t="str">
        <f>'Examens accrédités et ajouts'!A381</f>
        <v>HOPITAL CHARLES NICOLLE CHU ROUEN</v>
      </c>
      <c r="B368" s="48" t="str">
        <f>'Examens accrédités et ajouts'!B381</f>
        <v>Immunologie</v>
      </c>
      <c r="C368" s="48" t="str">
        <f>'Examens accrédités et ajouts'!E381</f>
        <v>Anticorps anti-béta2 glycoprotéine 1 IgM</v>
      </c>
      <c r="D368" s="48" t="str">
        <f>'Examens accrédités et ajouts'!F381</f>
        <v>Sang</v>
      </c>
      <c r="E368" s="182" t="str">
        <f>'Examens accrédités et ajouts'!Q381</f>
        <v xml:space="preserve">BM AI01 _ A _ Chimioluminescence _ Quantitatif _ Automatisée _ 1 _ BIOFLASH, Inova
</v>
      </c>
      <c r="F368" s="48" t="str">
        <f>'Examens accrédités et ajouts'!L381</f>
        <v>14342 v3</v>
      </c>
      <c r="G368" s="48">
        <f>'Examens accrédités et ajouts'!M381</f>
        <v>0</v>
      </c>
    </row>
    <row r="369" spans="1:7" hidden="1" x14ac:dyDescent="0.2">
      <c r="A369" s="48" t="str">
        <f>'Examens accrédités et ajouts'!A382</f>
        <v>HOPITAL CHARLES NICOLLE CHU ROUEN</v>
      </c>
      <c r="B369" s="48" t="str">
        <f>'Examens accrédités et ajouts'!B382</f>
        <v>Immunologie</v>
      </c>
      <c r="C369" s="48" t="str">
        <f>'Examens accrédités et ajouts'!E382</f>
        <v xml:space="preserve">Anticorps anti-centromère  </v>
      </c>
      <c r="D369" s="48" t="str">
        <f>'Examens accrédités et ajouts'!F382</f>
        <v>Sang</v>
      </c>
      <c r="E369" s="182" t="str">
        <f>'Examens accrédités et ajouts'!Q382</f>
        <v xml:space="preserve">BM AI01 _ A _ Chimiluminescence _ Quantitatif _ Automatisée _ 1 _ BIOFLASH, Inova
</v>
      </c>
      <c r="F369" s="48" t="str">
        <f>'Examens accrédités et ajouts'!L382</f>
        <v>24025 v1</v>
      </c>
      <c r="G369" s="48">
        <f>'Examens accrédités et ajouts'!M382</f>
        <v>0</v>
      </c>
    </row>
    <row r="370" spans="1:7" hidden="1" x14ac:dyDescent="0.2">
      <c r="A370" s="48" t="str">
        <f>'Examens accrédités et ajouts'!A383</f>
        <v>HOPITAL CHARLES NICOLLE CHU ROUEN</v>
      </c>
      <c r="B370" s="48" t="str">
        <f>'Examens accrédités et ajouts'!B383</f>
        <v>Immunologie</v>
      </c>
      <c r="C370" s="48" t="str">
        <f>'Examens accrédités et ajouts'!E383</f>
        <v>Anticorps anti-ribosome</v>
      </c>
      <c r="D370" s="48" t="str">
        <f>'Examens accrédités et ajouts'!F383</f>
        <v>Sang</v>
      </c>
      <c r="E370" s="182" t="str">
        <f>'Examens accrédités et ajouts'!Q383</f>
        <v xml:space="preserve">BM AI01 _ A _ Chimiluminescence _ Quantitatif _ Automatisée _ 1 _ BIOFLASH, Inova
</v>
      </c>
      <c r="F370" s="48" t="str">
        <f>'Examens accrédités et ajouts'!L383</f>
        <v>24024 v1</v>
      </c>
      <c r="G370" s="48">
        <f>'Examens accrédités et ajouts'!M383</f>
        <v>0</v>
      </c>
    </row>
    <row r="371" spans="1:7" hidden="1" x14ac:dyDescent="0.2">
      <c r="A371" s="48" t="str">
        <f>'Examens accrédités et ajouts'!A384</f>
        <v>HOPITAL CHARLES NICOLLE CHU ROUEN</v>
      </c>
      <c r="B371" s="48" t="str">
        <f>'Examens accrédités et ajouts'!B384</f>
        <v>Immunologie</v>
      </c>
      <c r="C371" s="48" t="str">
        <f>'Examens accrédités et ajouts'!E384</f>
        <v>Anticoprs anti-HMGCR</v>
      </c>
      <c r="D371" s="48" t="str">
        <f>'Examens accrédités et ajouts'!F384</f>
        <v>Sang</v>
      </c>
      <c r="E371" s="182" t="str">
        <f>'Examens accrédités et ajouts'!Q384</f>
        <v xml:space="preserve">BM AI01 _ A _ Chimiluminescence _ Quantitatif _ Automatisée _ 1 _ BIOFLASH, Inova
</v>
      </c>
      <c r="F371" s="48" t="str">
        <f>'Examens accrédités et ajouts'!L384</f>
        <v>22272 v2</v>
      </c>
      <c r="G371" s="48">
        <f>'Examens accrédités et ajouts'!M384</f>
        <v>0</v>
      </c>
    </row>
    <row r="372" spans="1:7" hidden="1" x14ac:dyDescent="0.2">
      <c r="A372" s="48" t="str">
        <f>'Examens accrédités et ajouts'!A385</f>
        <v>HOPITAL CHARLES NICOLLE CHU ROUEN</v>
      </c>
      <c r="B372" s="48" t="str">
        <f>'Examens accrédités et ajouts'!B385</f>
        <v>Immunologie</v>
      </c>
      <c r="C372" s="48" t="str">
        <f>'Examens accrédités et ajouts'!E385</f>
        <v>Anticorps anti-membrane basale en IFI sur peau clivée</v>
      </c>
      <c r="D372" s="48" t="str">
        <f>'Examens accrédités et ajouts'!F385</f>
        <v>Sang</v>
      </c>
      <c r="E372" s="182" t="str">
        <f>'Examens accrédités et ajouts'!Q385</f>
        <v xml:space="preserve">BM AI01 _ A _ Immunofluorescence Indirecte _ Qualitatif _ Automatisée _ 2 _ PhD Biorad </v>
      </c>
      <c r="F372" s="48" t="str">
        <f>'Examens accrédités et ajouts'!L385</f>
        <v>27967 v1</v>
      </c>
      <c r="G372" s="48">
        <f>'Examens accrédités et ajouts'!M385</f>
        <v>0</v>
      </c>
    </row>
    <row r="373" spans="1:7" hidden="1" x14ac:dyDescent="0.2">
      <c r="A373" s="48" t="str">
        <f>'Examens accrédités et ajouts'!A386</f>
        <v>HOPITAL CHARLES NICOLLE CHU ROUEN</v>
      </c>
      <c r="B373" s="48" t="str">
        <f>'Examens accrédités et ajouts'!B386</f>
        <v>Immunologie</v>
      </c>
      <c r="C373" s="48" t="str">
        <f>'Examens accrédités et ajouts'!E386</f>
        <v>Anticorps anti-collagène VII</v>
      </c>
      <c r="D373" s="48" t="str">
        <f>'Examens accrédités et ajouts'!F386</f>
        <v>Sang</v>
      </c>
      <c r="E373" s="182" t="str">
        <f>'Examens accrédités et ajouts'!Q386</f>
        <v>BM AI01 _ A _ ELISA _ Qualitatif _ Automatisée _ 1 _ EVOLIS, Biorad</v>
      </c>
      <c r="F373" s="48" t="str">
        <f>'Examens accrédités et ajouts'!L386</f>
        <v>27303 v1</v>
      </c>
      <c r="G373" s="48">
        <f>'Examens accrédités et ajouts'!M386</f>
        <v>0</v>
      </c>
    </row>
    <row r="374" spans="1:7" hidden="1" x14ac:dyDescent="0.2">
      <c r="A374" s="48" t="str">
        <f>'Examens accrédités et ajouts'!A387</f>
        <v>HOPITAL CHARLES NICOLLE CHU ROUEN</v>
      </c>
      <c r="B374" s="48" t="str">
        <f>'Examens accrédités et ajouts'!B387</f>
        <v>Immunologie</v>
      </c>
      <c r="C374" s="48" t="str">
        <f>'Examens accrédités et ajouts'!E387</f>
        <v>Anticorps anti-envoplakine</v>
      </c>
      <c r="D374" s="48" t="str">
        <f>'Examens accrédités et ajouts'!F387</f>
        <v>Sang</v>
      </c>
      <c r="E374" s="182" t="str">
        <f>'Examens accrédités et ajouts'!Q387</f>
        <v>BM AI01 _ A _ ELISA _ Qualitatif _ Automatisée _ 1 _ EVOLIS, Biorad</v>
      </c>
      <c r="F374" s="48" t="str">
        <f>'Examens accrédités et ajouts'!L387</f>
        <v>28173 v1</v>
      </c>
      <c r="G374" s="48">
        <f>'Examens accrédités et ajouts'!M387</f>
        <v>0</v>
      </c>
    </row>
    <row r="375" spans="1:7" hidden="1" x14ac:dyDescent="0.2">
      <c r="A375" s="48" t="str">
        <f>'Examens accrédités et ajouts'!A388</f>
        <v>HOPITAL CHARLES NICOLLE CHU ROUEN</v>
      </c>
      <c r="B375" s="48" t="str">
        <f>'Examens accrédités et ajouts'!B388</f>
        <v>Immunologie</v>
      </c>
      <c r="C375" s="48" t="str">
        <f>'Examens accrédités et ajouts'!E388</f>
        <v xml:space="preserve">Anticorps anti-peau en immunoblot sur extrait épidermique </v>
      </c>
      <c r="D375" s="48" t="str">
        <f>'Examens accrédités et ajouts'!F388</f>
        <v>Sang</v>
      </c>
      <c r="E375" s="182" t="str">
        <f>'Examens accrédités et ajouts'!Q388</f>
        <v>BM AI01 _ B _ Immunoblot _ Qualitatif _ Semi-automatisée _ 3 et 1 _ Easy blot , EuroblotMaster</v>
      </c>
      <c r="F375" s="48" t="str">
        <f>'Examens accrédités et ajouts'!L388</f>
        <v>30474 v5</v>
      </c>
      <c r="G375" s="48">
        <f>'Examens accrédités et ajouts'!M388</f>
        <v>0</v>
      </c>
    </row>
    <row r="376" spans="1:7" hidden="1" x14ac:dyDescent="0.2">
      <c r="A376" s="48" t="str">
        <f>'Examens accrédités et ajouts'!A389</f>
        <v>HOPITAL CHARLES NICOLLE CHU ROUEN</v>
      </c>
      <c r="B376" s="48" t="str">
        <f>'Examens accrédités et ajouts'!B389</f>
        <v>Immunologie</v>
      </c>
      <c r="C376" s="48" t="str">
        <f>'Examens accrédités et ajouts'!E389</f>
        <v xml:space="preserve">Anticorps anti-peau en immunoblot sur extrait dermique </v>
      </c>
      <c r="D376" s="48" t="str">
        <f>'Examens accrédités et ajouts'!F389</f>
        <v>Sang</v>
      </c>
      <c r="E376" s="182" t="str">
        <f>'Examens accrédités et ajouts'!Q389</f>
        <v>BM AI01 _ B _ Immunoblot _ Qualitatif _ Semi-automatisée _ 3, 1 et 1 _ Easy blot, EuroblotMaster / Odyssey CLx, LI-COR</v>
      </c>
      <c r="F376" s="48" t="str">
        <f>'Examens accrédités et ajouts'!L389</f>
        <v>30474 v1</v>
      </c>
      <c r="G376" s="48" t="str">
        <f>'Examens accrédités et ajouts'!M389</f>
        <v>suppression le 31/7/2023</v>
      </c>
    </row>
    <row r="377" spans="1:7" hidden="1" x14ac:dyDescent="0.2">
      <c r="A377" s="48" t="str">
        <f>'Examens accrédités et ajouts'!A390</f>
        <v>HOPITAL CHARLES NICOLLE CHU ROUEN</v>
      </c>
      <c r="B377" s="48" t="str">
        <f>'Examens accrédités et ajouts'!B390</f>
        <v>Immunologie</v>
      </c>
      <c r="C377" s="48" t="str">
        <f>'Examens accrédités et ajouts'!E390</f>
        <v>Facteur rhumatoïde IgM</v>
      </c>
      <c r="D377" s="48" t="str">
        <f>'Examens accrédités et ajouts'!F390</f>
        <v>Sang</v>
      </c>
      <c r="E377" s="182" t="str">
        <f>'Examens accrédités et ajouts'!Q390</f>
        <v>BM AI01 _ A _ FEIA (Fluorescent Enzyme ImmunoAssay) _ Quantitatif _ Automatisée _ 2 _ UNICAP 250, Phadia-Thermo Fischer</v>
      </c>
      <c r="F377" s="48" t="str">
        <f>'Examens accrédités et ajouts'!L390</f>
        <v>31816 v1
38101 v1</v>
      </c>
      <c r="G377" s="48">
        <f>'Examens accrédités et ajouts'!M390</f>
        <v>0</v>
      </c>
    </row>
    <row r="378" spans="1:7" hidden="1" x14ac:dyDescent="0.2">
      <c r="A378" s="48" t="str">
        <f>'Examens accrédités et ajouts'!A391</f>
        <v>HOPITAL CHARLES NICOLLE CHU ROUEN</v>
      </c>
      <c r="B378" s="48" t="str">
        <f>'Examens accrédités et ajouts'!B391</f>
        <v>Parasitologie</v>
      </c>
      <c r="C378" s="48" t="str">
        <f>'Examens accrédités et ajouts'!E391</f>
        <v>Examen parasitologique des selles</v>
      </c>
      <c r="D378" s="48" t="str">
        <f>'Examens accrédités et ajouts'!F391</f>
        <v>Selles</v>
      </c>
      <c r="E378" s="182" t="str">
        <f>'Examens accrédités et ajouts'!Q391</f>
        <v>BM MG07 _ B _ Examen direct sur selles fraiches ou fixées dans le MIF et examen après concentration _ Qualitatif _ Manuelle _  _ Microscope</v>
      </c>
      <c r="F378" s="48" t="str">
        <f>'Examens accrédités et ajouts'!L391</f>
        <v>10728 v4</v>
      </c>
      <c r="G378" s="48">
        <f>'Examens accrédités et ajouts'!M391</f>
        <v>0</v>
      </c>
    </row>
    <row r="379" spans="1:7" hidden="1" x14ac:dyDescent="0.2">
      <c r="A379" s="48" t="str">
        <f>'Examens accrédités et ajouts'!A392</f>
        <v>HOPITAL CHARLES NICOLLE CHU ROUEN</v>
      </c>
      <c r="B379" s="48" t="str">
        <f>'Examens accrédités et ajouts'!B392</f>
        <v>Pharmaco -Toxicologie</v>
      </c>
      <c r="C379" s="48" t="str">
        <f>'Examens accrédités et ajouts'!E392</f>
        <v>Génotypage TPMT</v>
      </c>
      <c r="D379" s="48" t="str">
        <f>'Examens accrédités et ajouts'!F392</f>
        <v>Sang / ADN extrait de sang</v>
      </c>
      <c r="E379" s="182" t="str">
        <f>'Examens accrédités et ajouts'!Q392</f>
        <v>BM GC04 _ B _ PCR en temps réel (RT-PCR) avec détection de fluorescence, chimie TaqMan _ Qualitatif _ Manuelle _ 1 _ Thermocycleur avec détection de fluorescence en temps réel</v>
      </c>
      <c r="F379" s="48" t="str">
        <f>'Examens accrédités et ajouts'!L392</f>
        <v>22194 v4</v>
      </c>
      <c r="G379" s="48">
        <f>'Examens accrédités et ajouts'!M392</f>
        <v>0</v>
      </c>
    </row>
    <row r="380" spans="1:7" hidden="1" x14ac:dyDescent="0.2">
      <c r="A380" s="48" t="str">
        <f>'Examens accrédités et ajouts'!A393</f>
        <v>HOPITAL CHARLES NICOLLE CHU ROUEN</v>
      </c>
      <c r="B380" s="48" t="str">
        <f>'Examens accrédités et ajouts'!B393</f>
        <v>Pharmaco -Toxicologie</v>
      </c>
      <c r="C380" s="48" t="str">
        <f>'Examens accrédités et ajouts'!E393</f>
        <v>Génotypage CYP3A5</v>
      </c>
      <c r="D380" s="48" t="str">
        <f>'Examens accrédités et ajouts'!F393</f>
        <v>Sang / ADN extrait de sang</v>
      </c>
      <c r="E380" s="182" t="str">
        <f>'Examens accrédités et ajouts'!Q393</f>
        <v>BM GC04 _ B _ PCR en temps réel (RT-PCR) avec détection de fluorescence, chimie TaqMan _ Qualitatif _ Manuelle _ 1 _ Thermocycleur avec détection de fluorescence en temps réel</v>
      </c>
      <c r="F380" s="48" t="str">
        <f>'Examens accrédités et ajouts'!L393</f>
        <v>18507 v5</v>
      </c>
      <c r="G380" s="48">
        <f>'Examens accrédités et ajouts'!M393</f>
        <v>0</v>
      </c>
    </row>
    <row r="381" spans="1:7" hidden="1" x14ac:dyDescent="0.2">
      <c r="A381" s="48" t="str">
        <f>'Examens accrédités et ajouts'!A394</f>
        <v>HOPITAL CHARLES NICOLLE CHU ROUEN</v>
      </c>
      <c r="B381" s="48" t="str">
        <f>'Examens accrédités et ajouts'!B394</f>
        <v>Virologie</v>
      </c>
      <c r="C381" s="48" t="str">
        <f>'Examens accrédités et ajouts'!E394</f>
        <v>Neisseria gonorrhoeae - détection ADN</v>
      </c>
      <c r="D381" s="48" t="str">
        <f>'Examens accrédités et ajouts'!F394</f>
        <v>Endocervicaux ou vaginaux, échantillons urétraux, urines</v>
      </c>
      <c r="E381" s="182" t="str">
        <f>'Examens accrédités et ajouts'!Q394</f>
        <v>BM BA02 _ A _ Détection d'acides nucléiques, après extraction et purification (PCR, hybridation, …) – Biologie moléculaire _ Qualitatif _ Automatisée _ 2 _ Panther Hologic</v>
      </c>
      <c r="F381" s="48" t="str">
        <f>'Examens accrédités et ajouts'!L394</f>
        <v>16707 v5</v>
      </c>
      <c r="G381" s="48">
        <f>'Examens accrédités et ajouts'!M394</f>
        <v>0</v>
      </c>
    </row>
    <row r="382" spans="1:7" hidden="1" x14ac:dyDescent="0.2">
      <c r="A382" s="48" t="str">
        <f>'Examens accrédités et ajouts'!A395</f>
        <v>HOPITAL CHARLES NICOLLE CHU ROUEN</v>
      </c>
      <c r="B382" s="48" t="str">
        <f>'Examens accrédités et ajouts'!B395</f>
        <v>Virologie</v>
      </c>
      <c r="C382" s="48" t="str">
        <f>'Examens accrédités et ajouts'!E395</f>
        <v>Chlamydia trachomatis - détection ADN</v>
      </c>
      <c r="D382" s="48" t="str">
        <f>'Examens accrédités et ajouts'!F395</f>
        <v>Endocervicaux ou vaginaux, échantillons urétraux, urines</v>
      </c>
      <c r="E382" s="182" t="str">
        <f>'Examens accrédités et ajouts'!Q395</f>
        <v>BM BA02 _ A _ Détection d'acides nucléiques, après extraction et purification (PCR, hybridation, …) – Biologie moléculaire _ Qualitatif _ Automatisée _ 2 _ Panther Hologic</v>
      </c>
      <c r="F382" s="48" t="str">
        <f>'Examens accrédités et ajouts'!L395</f>
        <v>16707 v5</v>
      </c>
      <c r="G382" s="48">
        <f>'Examens accrédités et ajouts'!M395</f>
        <v>0</v>
      </c>
    </row>
    <row r="383" spans="1:7" hidden="1" x14ac:dyDescent="0.2">
      <c r="A383" s="48" t="str">
        <f>'Examens accrédités et ajouts'!A396</f>
        <v>HOPITAL CHARLES NICOLLE CHU ROUEN</v>
      </c>
      <c r="B383" s="48" t="str">
        <f>'Examens accrédités et ajouts'!B396</f>
        <v>Virologie</v>
      </c>
      <c r="C383" s="48" t="str">
        <f>'Examens accrédités et ajouts'!E396</f>
        <v>Chlamydia trachomatis - serovar L</v>
      </c>
      <c r="D383" s="48" t="str">
        <f>'Examens accrédités et ajouts'!F396</f>
        <v>écouvillons anaux</v>
      </c>
      <c r="E383" s="182" t="str">
        <f>'Examens accrédités et ajouts'!Q396</f>
        <v>BM BA02 _ B _ Détection d'acides nucléiques, après extraction et purification (PCR, hybridation, …) – Biologie moléculaire _ Qualitatif _ Automatisée _ 1 _ Panther Fusion Hologic</v>
      </c>
      <c r="F383" s="48" t="str">
        <f>'Examens accrédités et ajouts'!L396</f>
        <v>39748 v2</v>
      </c>
      <c r="G383" s="48">
        <f>'Examens accrédités et ajouts'!M396</f>
        <v>0</v>
      </c>
    </row>
    <row r="384" spans="1:7" hidden="1" x14ac:dyDescent="0.2">
      <c r="A384" s="48" t="str">
        <f>'Examens accrédités et ajouts'!A397</f>
        <v>HOPITAL CHARLES NICOLLE CHU ROUEN</v>
      </c>
      <c r="B384" s="48" t="str">
        <f>'Examens accrédités et ajouts'!B397</f>
        <v>Virologie</v>
      </c>
      <c r="C384" s="48" t="str">
        <f>'Examens accrédités et ajouts'!E397</f>
        <v>CMV Sérologie (IgG - immunité)</v>
      </c>
      <c r="D384" s="48" t="str">
        <f>'Examens accrédités et ajouts'!F397</f>
        <v>Sérum</v>
      </c>
      <c r="E384" s="182" t="str">
        <f>'Examens accrédités et ajouts'!Q397</f>
        <v>BM MG01 _ A _ Chemiluminescence (CMIA) _ Quantitatif _ Automatisée _ 2 modules _ Alinity-i (Abbott)</v>
      </c>
      <c r="F384" s="48" t="str">
        <f>'Examens accrédités et ajouts'!L397</f>
        <v>13816 v6</v>
      </c>
      <c r="G384" s="48">
        <f>'Examens accrédités et ajouts'!M397</f>
        <v>0</v>
      </c>
    </row>
    <row r="385" spans="1:7" hidden="1" x14ac:dyDescent="0.2">
      <c r="A385" s="48" t="str">
        <f>'Examens accrédités et ajouts'!A398</f>
        <v>HOPITAL CHARLES NICOLLE CHU ROUEN</v>
      </c>
      <c r="B385" s="48" t="str">
        <f>'Examens accrédités et ajouts'!B398</f>
        <v>Virologie</v>
      </c>
      <c r="C385" s="48" t="str">
        <f>'Examens accrédités et ajouts'!E398</f>
        <v>CMV Sérologie (IgM - dépistage infection)</v>
      </c>
      <c r="D385" s="48" t="str">
        <f>'Examens accrédités et ajouts'!F398</f>
        <v>Sérum</v>
      </c>
      <c r="E385" s="182" t="str">
        <f>'Examens accrédités et ajouts'!Q398</f>
        <v>BM MG01 _ A _ Chemiluminescence (CMIA) _ Quantitatif _ Automatisée _ 2 modules _ Alinity-i (Abbott)</v>
      </c>
      <c r="F385" s="48" t="str">
        <f>'Examens accrédités et ajouts'!L398</f>
        <v>13815 v5</v>
      </c>
      <c r="G385" s="48">
        <f>'Examens accrédités et ajouts'!M398</f>
        <v>0</v>
      </c>
    </row>
    <row r="386" spans="1:7" hidden="1" x14ac:dyDescent="0.2">
      <c r="A386" s="48" t="str">
        <f>'Examens accrédités et ajouts'!A399</f>
        <v>HOPITAL CHARLES NICOLLE CHU ROUEN</v>
      </c>
      <c r="B386" s="48" t="str">
        <f>'Examens accrédités et ajouts'!B399</f>
        <v>Virologie</v>
      </c>
      <c r="C386" s="48" t="str">
        <f>'Examens accrédités et ajouts'!E399</f>
        <v>Rubéole Sérologie (IgG - immunité)</v>
      </c>
      <c r="D386" s="48" t="str">
        <f>'Examens accrédités et ajouts'!F399</f>
        <v>Sérum</v>
      </c>
      <c r="E386" s="182" t="str">
        <f>'Examens accrédités et ajouts'!Q399</f>
        <v>BM MG01 _ A _ Chemiluminescence (CMIA) _ Quantitatif _ Automatisée _ 2 modules _ Alinity-i (Abbott)</v>
      </c>
      <c r="F386" s="48" t="str">
        <f>'Examens accrédités et ajouts'!L399</f>
        <v>14930 v4</v>
      </c>
      <c r="G386" s="48">
        <f>'Examens accrédités et ajouts'!M399</f>
        <v>0</v>
      </c>
    </row>
    <row r="387" spans="1:7" hidden="1" x14ac:dyDescent="0.2">
      <c r="A387" s="48" t="str">
        <f>'Examens accrédités et ajouts'!A400</f>
        <v>HOPITAL CHARLES NICOLLE CHU ROUEN</v>
      </c>
      <c r="B387" s="48" t="str">
        <f>'Examens accrédités et ajouts'!B400</f>
        <v>Virologie</v>
      </c>
      <c r="C387" s="48" t="str">
        <f>'Examens accrédités et ajouts'!E400</f>
        <v>Rubéole Sérologie (IgM - dépistage infection)</v>
      </c>
      <c r="D387" s="48" t="str">
        <f>'Examens accrédités et ajouts'!F400</f>
        <v>Sérum</v>
      </c>
      <c r="E387" s="182" t="str">
        <f>'Examens accrédités et ajouts'!Q400</f>
        <v>BM MG01 _ A _ Chemiluminescence (CMIA) _ Quantitatif _ Automatisée _ 1 module _ Alinity-i (Abbott)</v>
      </c>
      <c r="F387" s="48" t="str">
        <f>'Examens accrédités et ajouts'!L400</f>
        <v>14931 v4</v>
      </c>
      <c r="G387" s="48">
        <f>'Examens accrédités et ajouts'!M400</f>
        <v>0</v>
      </c>
    </row>
    <row r="388" spans="1:7" hidden="1" x14ac:dyDescent="0.2">
      <c r="A388" s="48" t="str">
        <f>'Examens accrédités et ajouts'!A401</f>
        <v>HOPITAL CHARLES NICOLLE CHU ROUEN</v>
      </c>
      <c r="B388" s="48" t="str">
        <f>'Examens accrédités et ajouts'!B401</f>
        <v>Virologie</v>
      </c>
      <c r="C388" s="48" t="str">
        <f>'Examens accrédités et ajouts'!E401</f>
        <v>VIH Sérologie (dépistage infection)</v>
      </c>
      <c r="D388" s="48" t="str">
        <f>'Examens accrédités et ajouts'!F401</f>
        <v>Sérum</v>
      </c>
      <c r="E388" s="182" t="str">
        <f>'Examens accrédités et ajouts'!Q401</f>
        <v>BM MG01 _ A _ Chemiluminescence (CMIA) _ Quantitatif _ Automatisée _ 2 modules _ Alinity-i (Abbott)</v>
      </c>
      <c r="F388" s="48" t="str">
        <f>'Examens accrédités et ajouts'!L401</f>
        <v>12785 v5</v>
      </c>
      <c r="G388" s="48">
        <f>'Examens accrédités et ajouts'!M401</f>
        <v>0</v>
      </c>
    </row>
    <row r="389" spans="1:7" hidden="1" x14ac:dyDescent="0.2">
      <c r="A389" s="48" t="str">
        <f>'Examens accrédités et ajouts'!A402</f>
        <v>HOPITAL CHARLES NICOLLE CHU ROUEN</v>
      </c>
      <c r="B389" s="48" t="str">
        <f>'Examens accrédités et ajouts'!B402</f>
        <v>Virologie</v>
      </c>
      <c r="C389" s="48" t="str">
        <f>'Examens accrédités et ajouts'!E402</f>
        <v>VIH Sérologie (dépistage infection technique alternative)</v>
      </c>
      <c r="D389" s="48" t="str">
        <f>'Examens accrédités et ajouts'!F402</f>
        <v>Sérum</v>
      </c>
      <c r="E389" s="182" t="str">
        <f>'Examens accrédités et ajouts'!Q402</f>
        <v>BM MG01 _ A _ EIA _ Quantitatif _ Automatisée _ 1 _ Vidas (Biomérieux)</v>
      </c>
      <c r="F389" s="48" t="str">
        <f>'Examens accrédités et ajouts'!L402</f>
        <v>14059 version 3</v>
      </c>
      <c r="G389" s="48">
        <f>'Examens accrédités et ajouts'!M402</f>
        <v>0</v>
      </c>
    </row>
    <row r="390" spans="1:7" hidden="1" x14ac:dyDescent="0.2">
      <c r="A390" s="48" t="str">
        <f>'Examens accrédités et ajouts'!A403</f>
        <v>HOPITAL CHARLES NICOLLE CHU ROUEN</v>
      </c>
      <c r="B390" s="48" t="str">
        <f>'Examens accrédités et ajouts'!B403</f>
        <v>Virologie</v>
      </c>
      <c r="C390" s="48" t="str">
        <f>'Examens accrédités et ajouts'!E403</f>
        <v>HTLV Sérologie (dépistage infection)</v>
      </c>
      <c r="D390" s="48" t="str">
        <f>'Examens accrédités et ajouts'!F403</f>
        <v>Sérum</v>
      </c>
      <c r="E390" s="182" t="str">
        <f>'Examens accrédités et ajouts'!Q403</f>
        <v>BM MG01 _ A _ Chemiluminescence (CMIA) _ Quantitatif _ Automatisée _ 2 modules _ Alinity-i (Abbott)</v>
      </c>
      <c r="F390" s="48" t="str">
        <f>'Examens accrédités et ajouts'!L403</f>
        <v>13797 version 5</v>
      </c>
      <c r="G390" s="48">
        <f>'Examens accrédités et ajouts'!M403</f>
        <v>0</v>
      </c>
    </row>
    <row r="391" spans="1:7" hidden="1" x14ac:dyDescent="0.2">
      <c r="A391" s="48" t="str">
        <f>'Examens accrédités et ajouts'!A404</f>
        <v>HOPITAL CHARLES NICOLLE CHU ROUEN</v>
      </c>
      <c r="B391" s="48" t="str">
        <f>'Examens accrédités et ajouts'!B404</f>
        <v>Virologie</v>
      </c>
      <c r="C391" s="48" t="str">
        <f>'Examens accrédités et ajouts'!E404</f>
        <v>Hépatite A Sérologie (IgG - immunité)</v>
      </c>
      <c r="D391" s="48" t="str">
        <f>'Examens accrédités et ajouts'!F404</f>
        <v>Sérum</v>
      </c>
      <c r="E391" s="182" t="str">
        <f>'Examens accrédités et ajouts'!Q404</f>
        <v>BM MG01 _ A _ Chemiluminescence (CMIA) _ Quantitatif _ Automatisée _ 1 _ Alinity-i (Abbott)</v>
      </c>
      <c r="F391" s="48" t="str">
        <f>'Examens accrédités et ajouts'!L404</f>
        <v>13485 version 5</v>
      </c>
      <c r="G391" s="48">
        <f>'Examens accrédités et ajouts'!M404</f>
        <v>0</v>
      </c>
    </row>
    <row r="392" spans="1:7" hidden="1" x14ac:dyDescent="0.2">
      <c r="A392" s="48" t="str">
        <f>'Examens accrédités et ajouts'!A405</f>
        <v>HOPITAL CHARLES NICOLLE CHU ROUEN</v>
      </c>
      <c r="B392" s="48" t="str">
        <f>'Examens accrédités et ajouts'!B405</f>
        <v>Virologie</v>
      </c>
      <c r="C392" s="48" t="str">
        <f>'Examens accrédités et ajouts'!E405</f>
        <v>Hépatite A Sérologie (IgM - dépistage infection)</v>
      </c>
      <c r="D392" s="48" t="str">
        <f>'Examens accrédités et ajouts'!F405</f>
        <v>Sérum</v>
      </c>
      <c r="E392" s="182" t="str">
        <f>'Examens accrédités et ajouts'!Q405</f>
        <v>BM MG01 _ A _ Chemiluminescence (CMIA) _ Quantitatif _ Automatisée _ 2 modules _ Alinity-i (Abbott)</v>
      </c>
      <c r="F392" s="48" t="str">
        <f>'Examens accrédités et ajouts'!L405</f>
        <v>13486 version 5</v>
      </c>
      <c r="G392" s="48">
        <f>'Examens accrédités et ajouts'!M405</f>
        <v>0</v>
      </c>
    </row>
    <row r="393" spans="1:7" hidden="1" x14ac:dyDescent="0.2">
      <c r="A393" s="48" t="str">
        <f>'Examens accrédités et ajouts'!A406</f>
        <v>HOPITAL CHARLES NICOLLE CHU ROUEN</v>
      </c>
      <c r="B393" s="48" t="str">
        <f>'Examens accrédités et ajouts'!B406</f>
        <v>Virologie</v>
      </c>
      <c r="C393" s="48" t="str">
        <f>'Examens accrédités et ajouts'!E406</f>
        <v>Hépatite B Sérologie (Antigène HBs - dépistage infection)</v>
      </c>
      <c r="D393" s="48" t="str">
        <f>'Examens accrédités et ajouts'!F406</f>
        <v>Sérum</v>
      </c>
      <c r="E393" s="182" t="str">
        <f>'Examens accrédités et ajouts'!Q406</f>
        <v>BM MG01 _ A _ Chemiluminescence (CMIA) _ Quantitatif _ Automatisée _ 2 modules _ Alinity-i (Abbott)</v>
      </c>
      <c r="F393" s="48" t="str">
        <f>'Examens accrédités et ajouts'!L406</f>
        <v>14876 version 4</v>
      </c>
      <c r="G393" s="48">
        <f>'Examens accrédités et ajouts'!M406</f>
        <v>0</v>
      </c>
    </row>
    <row r="394" spans="1:7" hidden="1" x14ac:dyDescent="0.2">
      <c r="A394" s="48" t="str">
        <f>'Examens accrédités et ajouts'!A407</f>
        <v>HOPITAL CHARLES NICOLLE CHU ROUEN</v>
      </c>
      <c r="B394" s="48" t="str">
        <f>'Examens accrédités et ajouts'!B407</f>
        <v>Virologie</v>
      </c>
      <c r="C394" s="48" t="str">
        <f>'Examens accrédités et ajouts'!E407</f>
        <v>Hépatite B - Séroneutralisation de l'antigène HBs</v>
      </c>
      <c r="D394" s="48" t="str">
        <f>'Examens accrédités et ajouts'!F407</f>
        <v>Sérum</v>
      </c>
      <c r="E394" s="182" t="str">
        <f>'Examens accrédités et ajouts'!Q407</f>
        <v>BM MG01 _ A _ chemiluminescence (CMIA) _ Quantitatif _ Automatisée _ 2 modules _ Alinity-i (Abbott)</v>
      </c>
      <c r="F394" s="48" t="str">
        <f>'Examens accrédités et ajouts'!L407</f>
        <v>14876 version 4</v>
      </c>
      <c r="G394" s="48">
        <f>'Examens accrédités et ajouts'!M407</f>
        <v>0</v>
      </c>
    </row>
    <row r="395" spans="1:7" hidden="1" x14ac:dyDescent="0.2">
      <c r="A395" s="48" t="str">
        <f>'Examens accrédités et ajouts'!A408</f>
        <v>HOPITAL CHARLES NICOLLE CHU ROUEN</v>
      </c>
      <c r="B395" s="48" t="str">
        <f>'Examens accrédités et ajouts'!B408</f>
        <v>Virologie</v>
      </c>
      <c r="C395" s="48" t="str">
        <f>'Examens accrédités et ajouts'!E408</f>
        <v>Hépatite B Sérologie (Ac anti-HBs - immunité)</v>
      </c>
      <c r="D395" s="48" t="str">
        <f>'Examens accrédités et ajouts'!F408</f>
        <v>Sérum</v>
      </c>
      <c r="E395" s="182" t="str">
        <f>'Examens accrédités et ajouts'!Q408</f>
        <v>BM MG01 _ A _ Chemiluminescence (CMIA) _ Quantitatif _ Automatisée _ 2 modules _ Alinity-i (Abbott)</v>
      </c>
      <c r="F395" s="48" t="str">
        <f>'Examens accrédités et ajouts'!L408</f>
        <v>14924 version 4</v>
      </c>
      <c r="G395" s="48">
        <f>'Examens accrédités et ajouts'!M408</f>
        <v>0</v>
      </c>
    </row>
    <row r="396" spans="1:7" hidden="1" x14ac:dyDescent="0.2">
      <c r="A396" s="48" t="str">
        <f>'Examens accrédités et ajouts'!A409</f>
        <v>HOPITAL CHARLES NICOLLE CHU ROUEN</v>
      </c>
      <c r="B396" s="48" t="str">
        <f>'Examens accrédités et ajouts'!B409</f>
        <v>Virologie</v>
      </c>
      <c r="C396" s="48" t="str">
        <f>'Examens accrédités et ajouts'!E409</f>
        <v>Hépatite B Sérologie (Antigène HBe - suivi infection)</v>
      </c>
      <c r="D396" s="48" t="str">
        <f>'Examens accrédités et ajouts'!F409</f>
        <v>Sérum</v>
      </c>
      <c r="E396" s="182" t="str">
        <f>'Examens accrédités et ajouts'!Q409</f>
        <v>BM MG01 _ A _ Chemiluminescence (CMIA) _ Quantitatif _ Automatisée _ 1 _ Alinity-i (Abbott)</v>
      </c>
      <c r="F396" s="48" t="str">
        <f>'Examens accrédités et ajouts'!L409</f>
        <v>14927 version 4</v>
      </c>
      <c r="G396" s="48">
        <f>'Examens accrédités et ajouts'!M409</f>
        <v>0</v>
      </c>
    </row>
    <row r="397" spans="1:7" hidden="1" x14ac:dyDescent="0.2">
      <c r="A397" s="48" t="str">
        <f>'Examens accrédités et ajouts'!A410</f>
        <v>HOPITAL CHARLES NICOLLE CHU ROUEN</v>
      </c>
      <c r="B397" s="48" t="str">
        <f>'Examens accrédités et ajouts'!B410</f>
        <v>Virologie</v>
      </c>
      <c r="C397" s="48" t="str">
        <f>'Examens accrédités et ajouts'!E410</f>
        <v>Hépatite B Sérologie (Ac anti-HBe - suivi infection)</v>
      </c>
      <c r="D397" s="48" t="str">
        <f>'Examens accrédités et ajouts'!F410</f>
        <v>Sérum</v>
      </c>
      <c r="E397" s="182" t="str">
        <f>'Examens accrédités et ajouts'!Q410</f>
        <v>BM MG01 _ A _ Chemiluminescence (CMIA) _ Quantitatif _ Automatisée _ 1 _ Alinity-i (Abbott)</v>
      </c>
      <c r="F397" s="48" t="str">
        <f>'Examens accrédités et ajouts'!L410</f>
        <v>14928 version 4</v>
      </c>
      <c r="G397" s="48">
        <f>'Examens accrédités et ajouts'!M410</f>
        <v>0</v>
      </c>
    </row>
    <row r="398" spans="1:7" hidden="1" x14ac:dyDescent="0.2">
      <c r="A398" s="48" t="str">
        <f>'Examens accrédités et ajouts'!A411</f>
        <v>HOPITAL CHARLES NICOLLE CHU ROUEN</v>
      </c>
      <c r="B398" s="48" t="str">
        <f>'Examens accrédités et ajouts'!B411</f>
        <v>Virologie</v>
      </c>
      <c r="C398" s="48" t="str">
        <f>'Examens accrédités et ajouts'!E411</f>
        <v>Hépatite B Sérologie (Ac totaux anti-HBc - dépistage infection)</v>
      </c>
      <c r="D398" s="48" t="str">
        <f>'Examens accrédités et ajouts'!F411</f>
        <v>Sérum</v>
      </c>
      <c r="E398" s="182" t="str">
        <f>'Examens accrédités et ajouts'!Q411</f>
        <v>BM MG01 _ A _ Chemiluminescence (CMIA) _ Quantitatif _ Automatisée _ 2 modules _ Alinity-i (Abbott)</v>
      </c>
      <c r="F398" s="48" t="str">
        <f>'Examens accrédités et ajouts'!L411</f>
        <v>14925 version 4</v>
      </c>
      <c r="G398" s="48">
        <f>'Examens accrédités et ajouts'!M411</f>
        <v>0</v>
      </c>
    </row>
    <row r="399" spans="1:7" hidden="1" x14ac:dyDescent="0.2">
      <c r="A399" s="48" t="str">
        <f>'Examens accrédités et ajouts'!A412</f>
        <v>HOPITAL CHARLES NICOLLE CHU ROUEN</v>
      </c>
      <c r="B399" s="48" t="str">
        <f>'Examens accrédités et ajouts'!B412</f>
        <v>Virologie</v>
      </c>
      <c r="C399" s="48" t="str">
        <f>'Examens accrédités et ajouts'!E412</f>
        <v>Hépatite B Sérologie (IgM anti-HBc - dépistage infection)</v>
      </c>
      <c r="D399" s="48" t="str">
        <f>'Examens accrédités et ajouts'!F412</f>
        <v>Sérum</v>
      </c>
      <c r="E399" s="182" t="str">
        <f>'Examens accrédités et ajouts'!Q412</f>
        <v>BM MG01 _ A _ Chemiluminescence (CMIA) _ Quantitatif _ Automatisée _ 1 _ Alinity-i (Abbott)</v>
      </c>
      <c r="F399" s="48" t="str">
        <f>'Examens accrédités et ajouts'!L412</f>
        <v>14926 version 4</v>
      </c>
      <c r="G399" s="48">
        <f>'Examens accrédités et ajouts'!M412</f>
        <v>0</v>
      </c>
    </row>
    <row r="400" spans="1:7" hidden="1" x14ac:dyDescent="0.2">
      <c r="A400" s="48" t="str">
        <f>'Examens accrédités et ajouts'!A413</f>
        <v>HOPITAL CHARLES NICOLLE CHU ROUEN</v>
      </c>
      <c r="B400" s="48" t="str">
        <f>'Examens accrédités et ajouts'!B413</f>
        <v>Virologie</v>
      </c>
      <c r="C400" s="48" t="str">
        <f>'Examens accrédités et ajouts'!E413</f>
        <v>Hépatite C Sérologie (dépistage infection)</v>
      </c>
      <c r="D400" s="48" t="str">
        <f>'Examens accrédités et ajouts'!F413</f>
        <v>Sérum</v>
      </c>
      <c r="E400" s="182" t="str">
        <f>'Examens accrédités et ajouts'!Q413</f>
        <v>BM MG01 _ A _ Chemiluminescence (CMIA) _ Quantitatif _ Automatisée _ 2 modules _ Alinity-i (Abbott)</v>
      </c>
      <c r="F400" s="48" t="str">
        <f>'Examens accrédités et ajouts'!L413</f>
        <v>13265 version 5</v>
      </c>
      <c r="G400" s="48">
        <f>'Examens accrédités et ajouts'!M413</f>
        <v>0</v>
      </c>
    </row>
    <row r="401" spans="1:7" hidden="1" x14ac:dyDescent="0.2">
      <c r="A401" s="48" t="str">
        <f>'Examens accrédités et ajouts'!A414</f>
        <v>HOPITAL CHARLES NICOLLE CHU ROUEN</v>
      </c>
      <c r="B401" s="48" t="str">
        <f>'Examens accrédités et ajouts'!B414</f>
        <v>Virologie</v>
      </c>
      <c r="C401" s="48" t="str">
        <f>'Examens accrédités et ajouts'!E414</f>
        <v>EBV Sérologie (IgG anti-EBNA - immunité)</v>
      </c>
      <c r="D401" s="48" t="str">
        <f>'Examens accrédités et ajouts'!F414</f>
        <v>Sang</v>
      </c>
      <c r="E401" s="182" t="str">
        <f>'Examens accrédités et ajouts'!Q414</f>
        <v>BM MG01 _ A _ Chemiluminescence (CMIA) _ Quantitatif _ Automatisée _ 2 modules _ Alinity-i (Abbott)</v>
      </c>
      <c r="F401" s="48" t="str">
        <f>'Examens accrédités et ajouts'!L414</f>
        <v>20770 v2</v>
      </c>
      <c r="G401" s="48">
        <f>'Examens accrédités et ajouts'!M414</f>
        <v>0</v>
      </c>
    </row>
    <row r="402" spans="1:7" hidden="1" x14ac:dyDescent="0.2">
      <c r="A402" s="48" t="str">
        <f>'Examens accrédités et ajouts'!A415</f>
        <v>HOPITAL CHARLES NICOLLE CHU ROUEN</v>
      </c>
      <c r="B402" s="48" t="str">
        <f>'Examens accrédités et ajouts'!B415</f>
        <v>Virologie</v>
      </c>
      <c r="C402" s="48" t="str">
        <f>'Examens accrédités et ajouts'!E415</f>
        <v>EBV Sérologie (IgG anti-VCA - dépistage infection)</v>
      </c>
      <c r="D402" s="48" t="str">
        <f>'Examens accrédités et ajouts'!F415</f>
        <v>Sang</v>
      </c>
      <c r="E402" s="182" t="str">
        <f>'Examens accrédités et ajouts'!Q415</f>
        <v>BM MG01 _ A _ Chemiluminescence (CMIA) _ Quantitatif _ Automatisée _ 2 modules _ Alinity-i (Abbott)</v>
      </c>
      <c r="F402" s="48" t="str">
        <f>'Examens accrédités et ajouts'!L415</f>
        <v>20769 v2</v>
      </c>
      <c r="G402" s="48">
        <f>'Examens accrédités et ajouts'!M415</f>
        <v>0</v>
      </c>
    </row>
    <row r="403" spans="1:7" hidden="1" x14ac:dyDescent="0.2">
      <c r="A403" s="48" t="str">
        <f>'Examens accrédités et ajouts'!A416</f>
        <v>HOPITAL CHARLES NICOLLE CHU ROUEN</v>
      </c>
      <c r="B403" s="48" t="str">
        <f>'Examens accrédités et ajouts'!B416</f>
        <v>Virologie</v>
      </c>
      <c r="C403" s="48" t="str">
        <f>'Examens accrédités et ajouts'!E416</f>
        <v>EBV Sérologie (IgM anti-VCA - dépistage infection)</v>
      </c>
      <c r="D403" s="48" t="str">
        <f>'Examens accrédités et ajouts'!F416</f>
        <v>Sang</v>
      </c>
      <c r="E403" s="182" t="str">
        <f>'Examens accrédités et ajouts'!Q416</f>
        <v>BM MG01 _ A _ Chemiluminescence (CMIA) _ Quantitatif _ Automatisée _ 1 _ Alinity-i (Abbott)</v>
      </c>
      <c r="F403" s="48" t="str">
        <f>'Examens accrédités et ajouts'!L416</f>
        <v>20768 v2</v>
      </c>
      <c r="G403" s="48">
        <f>'Examens accrédités et ajouts'!M416</f>
        <v>0</v>
      </c>
    </row>
    <row r="404" spans="1:7" hidden="1" x14ac:dyDescent="0.2">
      <c r="A404" s="48" t="str">
        <f>'Examens accrédités et ajouts'!A417</f>
        <v>HOPITAL CHARLES NICOLLE CHU ROUEN</v>
      </c>
      <c r="B404" s="48" t="str">
        <f>'Examens accrédités et ajouts'!B417</f>
        <v>Virologie</v>
      </c>
      <c r="C404" s="48" t="str">
        <f>'Examens accrédités et ajouts'!E417</f>
        <v>Hépatite C sérologie (confirmation infection)</v>
      </c>
      <c r="D404" s="48" t="str">
        <f>'Examens accrédités et ajouts'!F417</f>
        <v>Sang</v>
      </c>
      <c r="E404" s="182" t="str">
        <f>'Examens accrédités et ajouts'!Q417</f>
        <v>BM MG01 _ A _ EIA _ Quantitatif _ Automatisée _ 1 _ Vidas</v>
      </c>
      <c r="F404" s="48" t="str">
        <f>'Examens accrédités et ajouts'!L417</f>
        <v>23827 v1</v>
      </c>
      <c r="G404" s="48">
        <f>'Examens accrédités et ajouts'!M417</f>
        <v>0</v>
      </c>
    </row>
    <row r="405" spans="1:7" hidden="1" x14ac:dyDescent="0.2">
      <c r="A405" s="48" t="str">
        <f>'Examens accrédités et ajouts'!A418</f>
        <v>HOPITAL CHARLES NICOLLE CHU ROUEN</v>
      </c>
      <c r="B405" s="48" t="str">
        <f>'Examens accrédités et ajouts'!B418</f>
        <v>Virologie</v>
      </c>
      <c r="C405" s="48" t="str">
        <f>'Examens accrédités et ajouts'!E418</f>
        <v>CMV avidité</v>
      </c>
      <c r="D405" s="48" t="str">
        <f>'Examens accrédités et ajouts'!F418</f>
        <v>Sang</v>
      </c>
      <c r="E405" s="182" t="str">
        <f>'Examens accrédités et ajouts'!Q418</f>
        <v>BM MG01 _ A _ Immuno-enzymatique (ELISA et dérivées) _ Quantitatif _ Automatisée _ 2 modules _ Alinity-i (Abbott)</v>
      </c>
      <c r="F405" s="48" t="str">
        <f>'Examens accrédités et ajouts'!L418</f>
        <v>16553 v3</v>
      </c>
      <c r="G405" s="48">
        <f>'Examens accrédités et ajouts'!M418</f>
        <v>0</v>
      </c>
    </row>
    <row r="406" spans="1:7" hidden="1" x14ac:dyDescent="0.2">
      <c r="A406" s="48" t="str">
        <f>'Examens accrédités et ajouts'!A419</f>
        <v>HOPITAL CHARLES NICOLLE CHU ROUEN</v>
      </c>
      <c r="B406" s="48" t="str">
        <f>'Examens accrédités et ajouts'!B419</f>
        <v>Virologie</v>
      </c>
      <c r="C406" s="48" t="str">
        <f>'Examens accrédités et ajouts'!E419</f>
        <v>SARS-CoV-2 quantitatif</v>
      </c>
      <c r="D406" s="48" t="str">
        <f>'Examens accrédités et ajouts'!F419</f>
        <v>Sang</v>
      </c>
      <c r="E406" s="182" t="str">
        <f>'Examens accrédités et ajouts'!Q419</f>
        <v>BM MG01 _ A _ Immuno-enzymatique (ELISA et dérivées) _ Quantitatif _ Automatisée _ 2 modules _ Alinity-i (Abbott)</v>
      </c>
      <c r="F406" s="48" t="str">
        <f>'Examens accrédités et ajouts'!L419</f>
        <v>35921 v1</v>
      </c>
      <c r="G406" s="48">
        <f>'Examens accrédités et ajouts'!M419</f>
        <v>0</v>
      </c>
    </row>
    <row r="407" spans="1:7" hidden="1" x14ac:dyDescent="0.2">
      <c r="A407" s="48" t="str">
        <f>'Examens accrédités et ajouts'!A420</f>
        <v>HOPITAL CHARLES NICOLLE CHU ROUEN</v>
      </c>
      <c r="B407" s="48" t="str">
        <f>'Examens accrédités et ajouts'!B420</f>
        <v>Virologie</v>
      </c>
      <c r="C407" s="48" t="str">
        <f>'Examens accrédités et ajouts'!E420</f>
        <v>Parvovirus IgG</v>
      </c>
      <c r="D407" s="48" t="str">
        <f>'Examens accrédités et ajouts'!F420</f>
        <v>Sang</v>
      </c>
      <c r="E407" s="182" t="str">
        <f>'Examens accrédités et ajouts'!Q420</f>
        <v>BM MG01 _ A _ Immuno-enzymatique (ELISA et dérivées) _ Quantitatif _ Automatisée _ 1 _ Liaison XL Diasorin</v>
      </c>
      <c r="F407" s="48" t="str">
        <f>'Examens accrédités et ajouts'!L420</f>
        <v>29106 v3</v>
      </c>
      <c r="G407" s="48">
        <f>'Examens accrédités et ajouts'!M420</f>
        <v>0</v>
      </c>
    </row>
    <row r="408" spans="1:7" hidden="1" x14ac:dyDescent="0.2">
      <c r="A408" s="48" t="str">
        <f>'Examens accrédités et ajouts'!A421</f>
        <v>HOPITAL CHARLES NICOLLE CHU ROUEN</v>
      </c>
      <c r="B408" s="48" t="str">
        <f>'Examens accrédités et ajouts'!B421</f>
        <v>Virologie</v>
      </c>
      <c r="C408" s="48" t="str">
        <f>'Examens accrédités et ajouts'!E421</f>
        <v>Parvovirus IgM</v>
      </c>
      <c r="D408" s="48" t="str">
        <f>'Examens accrédités et ajouts'!F421</f>
        <v>Sang</v>
      </c>
      <c r="E408" s="182" t="str">
        <f>'Examens accrédités et ajouts'!Q421</f>
        <v>BM MG01 _ A _ Immuno-enzymatique (ELISA et dérivées) _ Quantitatif _ Automatisée _ 1 _ Liaison XL Diasorin</v>
      </c>
      <c r="F408" s="48" t="str">
        <f>'Examens accrédités et ajouts'!L421</f>
        <v>29107 v3</v>
      </c>
      <c r="G408" s="48">
        <f>'Examens accrédités et ajouts'!M421</f>
        <v>0</v>
      </c>
    </row>
    <row r="409" spans="1:7" hidden="1" x14ac:dyDescent="0.2">
      <c r="A409" s="48" t="str">
        <f>'Examens accrédités et ajouts'!A422</f>
        <v>HOPITAL CHARLES NICOLLE CHU ROUEN</v>
      </c>
      <c r="B409" s="48" t="str">
        <f>'Examens accrédités et ajouts'!B422</f>
        <v>Virologie</v>
      </c>
      <c r="C409" s="48" t="str">
        <f>'Examens accrédités et ajouts'!E422</f>
        <v>Oreillons IgG</v>
      </c>
      <c r="D409" s="48" t="str">
        <f>'Examens accrédités et ajouts'!F422</f>
        <v>Sang</v>
      </c>
      <c r="E409" s="182" t="str">
        <f>'Examens accrédités et ajouts'!Q422</f>
        <v>BM MG01 _ A _ Immuno-enzymatique (ELISA et dérivées) _ Quantitatif _ Automatisée _ 1 _ Liaison XL Diasorin</v>
      </c>
      <c r="F409" s="48" t="str">
        <f>'Examens accrédités et ajouts'!L422</f>
        <v>29257 v1</v>
      </c>
      <c r="G409" s="48">
        <f>'Examens accrédités et ajouts'!M422</f>
        <v>0</v>
      </c>
    </row>
    <row r="410" spans="1:7" hidden="1" x14ac:dyDescent="0.2">
      <c r="A410" s="48" t="str">
        <f>'Examens accrédités et ajouts'!A423</f>
        <v>HOPITAL CHARLES NICOLLE CHU ROUEN</v>
      </c>
      <c r="B410" s="48" t="str">
        <f>'Examens accrédités et ajouts'!B423</f>
        <v>Virologie</v>
      </c>
      <c r="C410" s="48" t="str">
        <f>'Examens accrédités et ajouts'!E423</f>
        <v>Oreillons IgM</v>
      </c>
      <c r="D410" s="48" t="str">
        <f>'Examens accrédités et ajouts'!F423</f>
        <v>Sang</v>
      </c>
      <c r="E410" s="182" t="str">
        <f>'Examens accrédités et ajouts'!Q423</f>
        <v>BM MG01 _ A _ Immuno-enzymatique (ELISA et dérivées) _ Quantitatif _ Automatisée _ 1 _ Liaison XL Diasorin</v>
      </c>
      <c r="F410" s="48" t="str">
        <f>'Examens accrédités et ajouts'!L423</f>
        <v>29256 v1</v>
      </c>
      <c r="G410" s="48">
        <f>'Examens accrédités et ajouts'!M423</f>
        <v>0</v>
      </c>
    </row>
    <row r="411" spans="1:7" hidden="1" x14ac:dyDescent="0.2">
      <c r="A411" s="48" t="str">
        <f>'Examens accrédités et ajouts'!A424</f>
        <v>HOPITAL CHARLES NICOLLE CHU ROUEN</v>
      </c>
      <c r="B411" s="48" t="str">
        <f>'Examens accrédités et ajouts'!B424</f>
        <v>Virologie</v>
      </c>
      <c r="C411" s="48" t="str">
        <f>'Examens accrédités et ajouts'!E424</f>
        <v>HSV-1 IgG</v>
      </c>
      <c r="D411" s="48" t="str">
        <f>'Examens accrédités et ajouts'!F424</f>
        <v>Sang</v>
      </c>
      <c r="E411" s="182" t="str">
        <f>'Examens accrédités et ajouts'!Q424</f>
        <v>BM MG01 _ A _ Immuno-enzymatique (ELISA et dérivées) _ Quantitatif _ Automatisée _ 1 _ Liaison XL Diasorin</v>
      </c>
      <c r="F411" s="48" t="str">
        <f>'Examens accrédités et ajouts'!L424</f>
        <v>29075 v2</v>
      </c>
      <c r="G411" s="48">
        <f>'Examens accrédités et ajouts'!M424</f>
        <v>0</v>
      </c>
    </row>
    <row r="412" spans="1:7" hidden="1" x14ac:dyDescent="0.2">
      <c r="A412" s="48" t="str">
        <f>'Examens accrédités et ajouts'!A425</f>
        <v>HOPITAL CHARLES NICOLLE CHU ROUEN</v>
      </c>
      <c r="B412" s="48" t="str">
        <f>'Examens accrédités et ajouts'!B425</f>
        <v>Virologie</v>
      </c>
      <c r="C412" s="48" t="str">
        <f>'Examens accrédités et ajouts'!E425</f>
        <v>HSV-2 IgG</v>
      </c>
      <c r="D412" s="48" t="str">
        <f>'Examens accrédités et ajouts'!F425</f>
        <v>Sang</v>
      </c>
      <c r="E412" s="182" t="str">
        <f>'Examens accrédités et ajouts'!Q425</f>
        <v>BM MG01 _ A _ Immunoluminométrie (CLIA) _ Quantitatif _ Automatisée _ 1 _ Liaison XL Diasorin</v>
      </c>
      <c r="F412" s="48" t="str">
        <f>'Examens accrédités et ajouts'!L425</f>
        <v>29076 v2</v>
      </c>
      <c r="G412" s="48">
        <f>'Examens accrédités et ajouts'!M425</f>
        <v>0</v>
      </c>
    </row>
    <row r="413" spans="1:7" hidden="1" x14ac:dyDescent="0.2">
      <c r="A413" s="48" t="str">
        <f>'Examens accrédités et ajouts'!A426</f>
        <v>HOPITAL CHARLES NICOLLE CHU ROUEN</v>
      </c>
      <c r="B413" s="48" t="str">
        <f>'Examens accrédités et ajouts'!B426</f>
        <v>Virologie</v>
      </c>
      <c r="C413" s="48" t="str">
        <f>'Examens accrédités et ajouts'!E426</f>
        <v>VZV IgG</v>
      </c>
      <c r="D413" s="48" t="str">
        <f>'Examens accrédités et ajouts'!F426</f>
        <v>Sang</v>
      </c>
      <c r="E413" s="182" t="str">
        <f>'Examens accrédités et ajouts'!Q426</f>
        <v>BM MG01 _ A _ Immuno-enzymatique (ELISA et dérivées) _ Quantitatif _ Automatisée _ 1 _ Liaison XL Diasorin</v>
      </c>
      <c r="F413" s="48" t="str">
        <f>'Examens accrédités et ajouts'!L426</f>
        <v>29079 v3</v>
      </c>
      <c r="G413" s="48" t="str">
        <f>'Examens accrédités et ajouts'!M426</f>
        <v>changement de version du kit 12/12/24</v>
      </c>
    </row>
    <row r="414" spans="1:7" hidden="1" x14ac:dyDescent="0.2">
      <c r="A414" s="48" t="str">
        <f>'Examens accrédités et ajouts'!A427</f>
        <v>HOPITAL CHARLES NICOLLE CHU ROUEN</v>
      </c>
      <c r="B414" s="48" t="str">
        <f>'Examens accrédités et ajouts'!B427</f>
        <v>Virologie</v>
      </c>
      <c r="C414" s="48" t="str">
        <f>'Examens accrédités et ajouts'!E427</f>
        <v>Rougeole IgG</v>
      </c>
      <c r="D414" s="48" t="str">
        <f>'Examens accrédités et ajouts'!F427</f>
        <v>Sang</v>
      </c>
      <c r="E414" s="182" t="str">
        <f>'Examens accrédités et ajouts'!Q427</f>
        <v>BM MG01 _ A _ Immuno-enzymatique (ELISA et dérivées) _ Quantitatif _ Automatisée _ 1 _ Liaison XL Diasorin</v>
      </c>
      <c r="F414" s="48" t="str">
        <f>'Examens accrédités et ajouts'!L427</f>
        <v>29239 v2</v>
      </c>
      <c r="G414" s="48">
        <f>'Examens accrédités et ajouts'!M427</f>
        <v>0</v>
      </c>
    </row>
    <row r="415" spans="1:7" hidden="1" x14ac:dyDescent="0.2">
      <c r="A415" s="48" t="str">
        <f>'Examens accrédités et ajouts'!A428</f>
        <v>HOPITAL CHARLES NICOLLE CHU ROUEN</v>
      </c>
      <c r="B415" s="48" t="str">
        <f>'Examens accrédités et ajouts'!B428</f>
        <v>Virologie</v>
      </c>
      <c r="C415" s="48" t="str">
        <f>'Examens accrédités et ajouts'!E428</f>
        <v>Rougeole IgM</v>
      </c>
      <c r="D415" s="48" t="str">
        <f>'Examens accrédités et ajouts'!F428</f>
        <v>Sang</v>
      </c>
      <c r="E415" s="182" t="str">
        <f>'Examens accrédités et ajouts'!Q428</f>
        <v>BM MG01 _ A _ Immuno-enzymatique (ELISA et dérivées) _ Quantitatif _ Automatisée _ 1 _ Liaison XL Diasorin</v>
      </c>
      <c r="F415" s="48" t="str">
        <f>'Examens accrédités et ajouts'!L428</f>
        <v>29237 v2</v>
      </c>
      <c r="G415" s="48">
        <f>'Examens accrédités et ajouts'!M428</f>
        <v>0</v>
      </c>
    </row>
    <row r="416" spans="1:7" hidden="1" x14ac:dyDescent="0.2">
      <c r="A416" s="48" t="str">
        <f>'Examens accrédités et ajouts'!A429</f>
        <v>HOPITAL CHARLES NICOLLE CHU ROUEN</v>
      </c>
      <c r="B416" s="48" t="str">
        <f>'Examens accrédités et ajouts'!B429</f>
        <v>Virologie</v>
      </c>
      <c r="C416" s="48" t="str">
        <f>'Examens accrédités et ajouts'!E429</f>
        <v>Sérologie Hépatite delta</v>
      </c>
      <c r="D416" s="48" t="str">
        <f>'Examens accrédités et ajouts'!F429</f>
        <v>Sang</v>
      </c>
      <c r="E416" s="182" t="str">
        <f>'Examens accrédités et ajouts'!Q429</f>
        <v>BM MG01 _ A _ Immuno-enzymatique (ELISA et dérivées) _ Quantitatif _ Automatisée _ 1 _ Liaison XL Diasorin</v>
      </c>
      <c r="F416" s="48" t="str">
        <f>'Examens accrédités et ajouts'!L429</f>
        <v>32369 v1</v>
      </c>
      <c r="G416" s="48">
        <f>'Examens accrédités et ajouts'!M429</f>
        <v>0</v>
      </c>
    </row>
    <row r="417" spans="1:7" hidden="1" x14ac:dyDescent="0.2">
      <c r="A417" s="48" t="str">
        <f>'Examens accrédités et ajouts'!A430</f>
        <v>HOPITAL CHARLES NICOLLE CHU ROUEN</v>
      </c>
      <c r="B417" s="48" t="str">
        <f>'Examens accrédités et ajouts'!B430</f>
        <v>Virologie</v>
      </c>
      <c r="C417" s="48" t="str">
        <f>'Examens accrédités et ajouts'!E430</f>
        <v>Sérologie IgM VHE</v>
      </c>
      <c r="D417" s="48" t="str">
        <f>'Examens accrédités et ajouts'!F430</f>
        <v>Sang</v>
      </c>
      <c r="E417" s="182" t="str">
        <f>'Examens accrédités et ajouts'!Q430</f>
        <v>BM MG01 _ A _ Immuno-enzymatique (ELISA et dérivées) _ Quantitatif _ Automatisée _ 1 _ Liaison XL Diasorin</v>
      </c>
      <c r="F417" s="48" t="str">
        <f>'Examens accrédités et ajouts'!L430</f>
        <v>41257 v1</v>
      </c>
      <c r="G417" s="48" t="str">
        <f>'Examens accrédités et ajouts'!M430</f>
        <v>ajout après audit de mai 2024</v>
      </c>
    </row>
    <row r="418" spans="1:7" hidden="1" x14ac:dyDescent="0.2">
      <c r="A418" s="48" t="str">
        <f>'Examens accrédités et ajouts'!A431</f>
        <v>HOPITAL CHARLES NICOLLE CHU ROUEN</v>
      </c>
      <c r="B418" s="48" t="str">
        <f>'Examens accrédités et ajouts'!B431</f>
        <v>Virologie</v>
      </c>
      <c r="C418" s="48" t="str">
        <f>'Examens accrédités et ajouts'!E431</f>
        <v>VIH Sérotypage (expertise - SSEIA)</v>
      </c>
      <c r="D418" s="48" t="str">
        <f>'Examens accrédités et ajouts'!F431</f>
        <v>sérum</v>
      </c>
      <c r="E418" s="182" t="str">
        <f>'Examens accrédités et ajouts'!Q431</f>
        <v>BM MG01 _ B _ EIA _ quantitatif _ automatisé _ 1 _ ETI-Max 3000</v>
      </c>
      <c r="F418" s="48" t="str">
        <f>'Examens accrédités et ajouts'!L431</f>
        <v>35887 v1</v>
      </c>
      <c r="G418" s="48" t="str">
        <f>'Examens accrédités et ajouts'!M431</f>
        <v>extension 2019 auditée en mai 2024</v>
      </c>
    </row>
    <row r="419" spans="1:7" hidden="1" x14ac:dyDescent="0.2">
      <c r="A419" s="48" t="str">
        <f>'Examens accrédités et ajouts'!A432</f>
        <v>HOPITAL CHARLES NICOLLE CHU ROUEN</v>
      </c>
      <c r="B419" s="48" t="str">
        <f>'Examens accrédités et ajouts'!B432</f>
        <v>Virologie</v>
      </c>
      <c r="C419" s="48" t="str">
        <f>'Examens accrédités et ajouts'!E432</f>
        <v xml:space="preserve">Rotavirus et Adénovirus : Test de détection rapide dans les selles </v>
      </c>
      <c r="D419" s="48" t="str">
        <f>'Examens accrédités et ajouts'!F432</f>
        <v>Selles</v>
      </c>
      <c r="E419" s="182" t="str">
        <f>'Examens accrédités et ajouts'!Q432</f>
        <v xml:space="preserve">BM MG03 _ A _ Immunochromatographie _ Qualitatif _ Manuelle _  _ </v>
      </c>
      <c r="F419" s="48" t="str">
        <f>'Examens accrédités et ajouts'!L432</f>
        <v>10355 version 3</v>
      </c>
      <c r="G419" s="48">
        <f>'Examens accrédités et ajouts'!M432</f>
        <v>0</v>
      </c>
    </row>
    <row r="420" spans="1:7" hidden="1" x14ac:dyDescent="0.2">
      <c r="A420" s="48" t="str">
        <f>'Examens accrédités et ajouts'!A433</f>
        <v>HOPITAL CHARLES NICOLLE CHU ROUEN</v>
      </c>
      <c r="B420" s="48" t="str">
        <f>'Examens accrédités et ajouts'!B433</f>
        <v>Virologie</v>
      </c>
      <c r="C420" s="48" t="str">
        <f>'Examens accrédités et ajouts'!E433</f>
        <v>PCR Parvovirus</v>
      </c>
      <c r="D420" s="48" t="str">
        <f>'Examens accrédités et ajouts'!F433</f>
        <v>Sang, moelle osseuse, liquide amniotique, sang fœtal</v>
      </c>
      <c r="E420" s="182" t="str">
        <f>'Examens accrédités et ajouts'!Q433</f>
        <v>BM VB01 _ A _ Détection d'acides nucléiques avec ou sans amplification, après extraction et purification (hybridation, PCR, …) – Biologie moléculaire _ Quantitatif et/ou qualitatif _ Automatisée _ 1 _ Altostar (Altona)</v>
      </c>
      <c r="F420" s="48" t="str">
        <f>'Examens accrédités et ajouts'!L433</f>
        <v>22854 v3</v>
      </c>
      <c r="G420" s="48">
        <f>'Examens accrédités et ajouts'!M433</f>
        <v>0</v>
      </c>
    </row>
    <row r="421" spans="1:7" hidden="1" x14ac:dyDescent="0.2">
      <c r="A421" s="48" t="str">
        <f>'Examens accrédités et ajouts'!A434</f>
        <v>HOPITAL CHARLES NICOLLE CHU ROUEN</v>
      </c>
      <c r="B421" s="48" t="str">
        <f>'Examens accrédités et ajouts'!B434</f>
        <v>Virologie</v>
      </c>
      <c r="C421" s="48" t="str">
        <f>'Examens accrédités et ajouts'!E434</f>
        <v>Charge virale HHV6</v>
      </c>
      <c r="D421" s="48" t="str">
        <f>'Examens accrédités et ajouts'!F434</f>
        <v>Sang, 
LCR, prélèvement respiratoire, biopsies, LBA, moelle</v>
      </c>
      <c r="E421" s="182" t="str">
        <f>'Examens accrédités et ajouts'!Q434</f>
        <v>BM VB01 _ A _ Détection d'acides nucléiques avec ou sans amplification, après extraction et purification (hybridation, PCR, …) – Biologie moléculaire _ Quantitatif et/ou qualitatif _ Automatisée _ 1 _ Altostar (Altona)</v>
      </c>
      <c r="F421" s="48" t="str">
        <f>'Examens accrédités et ajouts'!L434</f>
        <v>23541 v3</v>
      </c>
      <c r="G421" s="48">
        <f>'Examens accrédités et ajouts'!M434</f>
        <v>0</v>
      </c>
    </row>
    <row r="422" spans="1:7" hidden="1" x14ac:dyDescent="0.2">
      <c r="A422" s="48" t="str">
        <f>'Examens accrédités et ajouts'!A435</f>
        <v>HOPITAL CHARLES NICOLLE CHU ROUEN</v>
      </c>
      <c r="B422" s="48" t="str">
        <f>'Examens accrédités et ajouts'!B435</f>
        <v>Virologie</v>
      </c>
      <c r="C422" s="48" t="str">
        <f>'Examens accrédités et ajouts'!E435</f>
        <v>Charge virale adenovirus</v>
      </c>
      <c r="D422" s="48" t="str">
        <f>'Examens accrédités et ajouts'!F435</f>
        <v>Sang, LCR, moelle, LBA, prélèvements respiratoires, surnageant de selles, écouvillons oculaires, humeur aqueuse, biopsies</v>
      </c>
      <c r="E422" s="182" t="str">
        <f>'Examens accrédités et ajouts'!Q435</f>
        <v>BM VB01 _ A _ Détection d'acides nucléiques avec ou sans amplification, après extraction et purification (hybridation, PCR, …) – Biologie moléculaire _ Quantitatif et/ou qualitatif _ Automatisée _ 1 _ Altostar (Altona)</v>
      </c>
      <c r="F422" s="48" t="str">
        <f>'Examens accrédités et ajouts'!L435</f>
        <v>14004 v5</v>
      </c>
      <c r="G422" s="48">
        <f>'Examens accrédités et ajouts'!M435</f>
        <v>0</v>
      </c>
    </row>
    <row r="423" spans="1:7" hidden="1" x14ac:dyDescent="0.2">
      <c r="A423" s="48" t="str">
        <f>'Examens accrédités et ajouts'!A436</f>
        <v>HOPITAL CHARLES NICOLLE CHU ROUEN</v>
      </c>
      <c r="B423" s="48" t="str">
        <f>'Examens accrédités et ajouts'!B436</f>
        <v>Hématologie</v>
      </c>
      <c r="C423" s="48" t="str">
        <f>'Examens accrédités et ajouts'!E436</f>
        <v>Protéine C, antigène</v>
      </c>
      <c r="D423" s="48" t="str">
        <f>'Examens accrédités et ajouts'!F436</f>
        <v>Plasma</v>
      </c>
      <c r="E423" s="182" t="str">
        <f>'Examens accrédités et ajouts'!Q436</f>
        <v>BM CB02 _ A _ Immunoenzymatique (ELFA) _ Quantitatif _ Automatisée _ 1 _ BIOMERIEUX Vidas 3</v>
      </c>
      <c r="F423" s="48" t="str">
        <f>'Examens accrédités et ajouts'!L436</f>
        <v>28268 v1</v>
      </c>
      <c r="G423" s="48">
        <f>'Examens accrédités et ajouts'!M436</f>
        <v>0</v>
      </c>
    </row>
    <row r="424" spans="1:7" hidden="1" x14ac:dyDescent="0.2">
      <c r="A424" s="48" t="str">
        <f>'Examens accrédités et ajouts'!A437</f>
        <v>HOPITAL CHARLES NICOLLE CHU ROUEN</v>
      </c>
      <c r="B424" s="48" t="str">
        <f>'Examens accrédités et ajouts'!B437</f>
        <v>Hématologie</v>
      </c>
      <c r="C424" s="48" t="str">
        <f>'Examens accrédités et ajouts'!E437</f>
        <v>TCK Temps de Céphaline-Kaolin</v>
      </c>
      <c r="D424" s="48" t="str">
        <f>'Examens accrédités et ajouts'!F437</f>
        <v>Plasma</v>
      </c>
      <c r="E424" s="182" t="str">
        <f>'Examens accrédités et ajouts'!Q437</f>
        <v>BM CB02 _ A _ Mesure chronométrique par viscométrie _ Quantitatif _ Automatisée _ 1 _ STAR Max 3</v>
      </c>
      <c r="F424" s="48" t="str">
        <f>'Examens accrédités et ajouts'!L437</f>
        <v>30466 v2</v>
      </c>
      <c r="G424" s="48">
        <f>'Examens accrédités et ajouts'!M437</f>
        <v>0</v>
      </c>
    </row>
    <row r="425" spans="1:7" hidden="1" x14ac:dyDescent="0.2">
      <c r="A425" s="48" t="str">
        <f>'Examens accrédités et ajouts'!A438</f>
        <v>HOPITAL CHARLES NICOLLE CHU ROUEN</v>
      </c>
      <c r="B425" s="48" t="str">
        <f>'Examens accrédités et ajouts'!B438</f>
        <v>Hématologie</v>
      </c>
      <c r="C425" s="48" t="str">
        <f>'Examens accrédités et ajouts'!E438</f>
        <v xml:space="preserve">Protéine S totale, antigène </v>
      </c>
      <c r="D425" s="48" t="str">
        <f>'Examens accrédités et ajouts'!F438</f>
        <v>Plasma</v>
      </c>
      <c r="E425" s="182" t="str">
        <f>'Examens accrédités et ajouts'!Q438</f>
        <v>BM CB02 _ B _ Immunoenzymatique _ Quantitatif _ Automatisée _ 1 _ Diasorin ETIMAX 3000</v>
      </c>
      <c r="F425" s="48" t="str">
        <f>'Examens accrédités et ajouts'!L438</f>
        <v>28464 v1</v>
      </c>
      <c r="G425" s="48">
        <f>'Examens accrédités et ajouts'!M438</f>
        <v>0</v>
      </c>
    </row>
    <row r="426" spans="1:7" hidden="1" x14ac:dyDescent="0.2">
      <c r="A426" s="48" t="str">
        <f>'Examens accrédités et ajouts'!A439</f>
        <v>HOPITAL CHARLES NICOLLE CHU ROUEN</v>
      </c>
      <c r="B426" s="48" t="str">
        <f>'Examens accrédités et ajouts'!B439</f>
        <v>Hématologie</v>
      </c>
      <c r="C426" s="48" t="str">
        <f>'Examens accrédités et ajouts'!E439</f>
        <v>Protéine S libre, antigène</v>
      </c>
      <c r="D426" s="48" t="str">
        <f>'Examens accrédités et ajouts'!F439</f>
        <v>Plasma</v>
      </c>
      <c r="E426" s="182" t="str">
        <f>'Examens accrédités et ajouts'!Q439</f>
        <v>BM CB02 _ B _ Immunoenzymatique _ Quantitatif _ Automatisée _ 1 _ Diasorin ETIMAX 3000</v>
      </c>
      <c r="F426" s="48" t="str">
        <f>'Examens accrédités et ajouts'!L439</f>
        <v>28471 v1</v>
      </c>
      <c r="G426" s="48">
        <f>'Examens accrédités et ajouts'!M439</f>
        <v>0</v>
      </c>
    </row>
    <row r="427" spans="1:7" hidden="1" x14ac:dyDescent="0.2">
      <c r="A427" s="48" t="str">
        <f>'Examens accrédités et ajouts'!A440</f>
        <v>HOPITAL CHARLES NICOLLE CHU ROUEN</v>
      </c>
      <c r="B427" s="48" t="str">
        <f>'Examens accrédités et ajouts'!B440</f>
        <v>Hématologie</v>
      </c>
      <c r="C427" s="48" t="str">
        <f>'Examens accrédités et ajouts'!E440</f>
        <v>Facteur XI</v>
      </c>
      <c r="D427" s="48" t="str">
        <f>'Examens accrédités et ajouts'!F440</f>
        <v>Plasma</v>
      </c>
      <c r="E427" s="182" t="str">
        <f>'Examens accrédités et ajouts'!Q440</f>
        <v>BM CB02 _ B _ Chronométrie _ Quantitatif _ Automatisée _ 1 _ STAR Max 3</v>
      </c>
      <c r="F427" s="48" t="str">
        <f>'Examens accrédités et ajouts'!L440</f>
        <v>16831 V5</v>
      </c>
      <c r="G427" s="48">
        <f>'Examens accrédités et ajouts'!M440</f>
        <v>0</v>
      </c>
    </row>
    <row r="428" spans="1:7" hidden="1" x14ac:dyDescent="0.2">
      <c r="A428" s="48" t="str">
        <f>'Examens accrédités et ajouts'!A441</f>
        <v>HOPITAL CHARLES NICOLLE CHU ROUEN</v>
      </c>
      <c r="B428" s="48" t="str">
        <f>'Examens accrédités et ajouts'!B441</f>
        <v>Hématologie</v>
      </c>
      <c r="C428" s="48" t="str">
        <f>'Examens accrédités et ajouts'!E441</f>
        <v>Facteur IX</v>
      </c>
      <c r="D428" s="48" t="str">
        <f>'Examens accrédités et ajouts'!F441</f>
        <v>Plasma</v>
      </c>
      <c r="E428" s="182" t="str">
        <f>'Examens accrédités et ajouts'!Q441</f>
        <v>BM CB02 _ B _ Chronométrie _ Quantitatif _ Automatisée _ 1 _ STAR Max 3</v>
      </c>
      <c r="F428" s="48" t="str">
        <f>'Examens accrédités et ajouts'!L441</f>
        <v>16832 V5</v>
      </c>
      <c r="G428" s="48">
        <f>'Examens accrédités et ajouts'!M441</f>
        <v>0</v>
      </c>
    </row>
    <row r="429" spans="1:7" hidden="1" x14ac:dyDescent="0.2">
      <c r="A429" s="48" t="str">
        <f>'Examens accrédités et ajouts'!A442</f>
        <v>HOPITAL CHARLES NICOLLE CHU ROUEN</v>
      </c>
      <c r="B429" s="48" t="str">
        <f>'Examens accrédités et ajouts'!B442</f>
        <v>Hématologie</v>
      </c>
      <c r="C429" s="48" t="str">
        <f>'Examens accrédités et ajouts'!E442</f>
        <v>Facteur VIII</v>
      </c>
      <c r="D429" s="48" t="str">
        <f>'Examens accrédités et ajouts'!F442</f>
        <v>Plasma</v>
      </c>
      <c r="E429" s="182" t="str">
        <f>'Examens accrédités et ajouts'!Q442</f>
        <v>BM CB02 _ B _ Chronométrie _ Quantitatif _ Automatisée _ 1 _ STAR Max 3</v>
      </c>
      <c r="F429" s="48" t="str">
        <f>'Examens accrédités et ajouts'!L442</f>
        <v>16834 V5</v>
      </c>
      <c r="G429" s="48">
        <f>'Examens accrédités et ajouts'!M442</f>
        <v>0</v>
      </c>
    </row>
    <row r="430" spans="1:7" hidden="1" x14ac:dyDescent="0.2">
      <c r="A430" s="48" t="str">
        <f>'Examens accrédités et ajouts'!A443</f>
        <v>HOPITAL CHARLES NICOLLE CHU ROUEN</v>
      </c>
      <c r="B430" s="48" t="str">
        <f>'Examens accrédités et ajouts'!B443</f>
        <v>Hématologie</v>
      </c>
      <c r="C430" s="48" t="str">
        <f>'Examens accrédités et ajouts'!E443</f>
        <v>Recherche et  titrage des anti-facteurs de la coagulation</v>
      </c>
      <c r="D430" s="48" t="str">
        <f>'Examens accrédités et ajouts'!F443</f>
        <v>Plasma</v>
      </c>
      <c r="E430" s="182" t="str">
        <f>'Examens accrédités et ajouts'!Q443</f>
        <v>BM CB02 _ B _ Méthode chronométrique ou chromogénique _ Quantitatif _ Automatisée _ 4 _ STAGO : STAR Max 3(voie Endogène), 2 STAR-Max Evo (voie Exogène) SYSMEX CN3500</v>
      </c>
      <c r="F430" s="48" t="str">
        <f>'Examens accrédités et ajouts'!L443</f>
        <v>30222 v4</v>
      </c>
      <c r="G430" s="48">
        <f>'Examens accrédités et ajouts'!M443</f>
        <v>0</v>
      </c>
    </row>
    <row r="431" spans="1:7" hidden="1" x14ac:dyDescent="0.2">
      <c r="A431" s="48" t="str">
        <f>'Examens accrédités et ajouts'!A444</f>
        <v>HOPITAL CHARLES NICOLLE CHU ROUEN</v>
      </c>
      <c r="B431" s="48" t="str">
        <f>'Examens accrédités et ajouts'!B444</f>
        <v>Hématologie</v>
      </c>
      <c r="C431" s="48" t="str">
        <f>'Examens accrédités et ajouts'!E444</f>
        <v>Facteur Willebrand antigène</v>
      </c>
      <c r="D431" s="48" t="str">
        <f>'Examens accrédités et ajouts'!F444</f>
        <v>Plasma</v>
      </c>
      <c r="E431" s="182" t="str">
        <f>'Examens accrédités et ajouts'!Q444</f>
        <v>BM CB06 _ A _ Dosage turbidimétrique _ Quantitatif _ Automatisée _ 1 _  SYSMEX : CN 3500</v>
      </c>
      <c r="F431" s="48" t="str">
        <f>'Examens accrédités et ajouts'!L444</f>
        <v>16129 V2</v>
      </c>
      <c r="G431" s="48">
        <f>'Examens accrédités et ajouts'!M444</f>
        <v>0</v>
      </c>
    </row>
    <row r="432" spans="1:7" hidden="1" x14ac:dyDescent="0.2">
      <c r="A432" s="48" t="str">
        <f>'Examens accrédités et ajouts'!A445</f>
        <v>HOPITAL CHARLES NICOLLE CHU ROUEN</v>
      </c>
      <c r="B432" s="48" t="str">
        <f>'Examens accrédités et ajouts'!B445</f>
        <v>Hématologie</v>
      </c>
      <c r="C432" s="48" t="str">
        <f>'Examens accrédités et ajouts'!E445</f>
        <v>Facteur Willebrand activité GP1b (Innovance)</v>
      </c>
      <c r="D432" s="48" t="str">
        <f>'Examens accrédités et ajouts'!F445</f>
        <v>Plasma</v>
      </c>
      <c r="E432" s="182" t="str">
        <f>'Examens accrédités et ajouts'!Q445</f>
        <v>BM CB06 _ A _ Dosage turbidimétrique _ Quantitatif _ Automatisée _ 1 _  SYSMEX : CN 3500</v>
      </c>
      <c r="F432" s="48" t="str">
        <f>'Examens accrédités et ajouts'!L445</f>
        <v>28503 v2</v>
      </c>
      <c r="G432" s="48">
        <f>'Examens accrédités et ajouts'!M445</f>
        <v>0</v>
      </c>
    </row>
    <row r="433" spans="1:7" hidden="1" x14ac:dyDescent="0.2">
      <c r="A433" s="48" t="str">
        <f>'Examens accrédités et ajouts'!A446</f>
        <v>HOPITAL CHARLES NICOLLE CHU ROUEN</v>
      </c>
      <c r="B433" s="48" t="str">
        <f>'Examens accrédités et ajouts'!B446</f>
        <v>Hématologie</v>
      </c>
      <c r="C433" s="48" t="str">
        <f>'Examens accrédités et ajouts'!E446</f>
        <v>Plasminogène, activité</v>
      </c>
      <c r="D433" s="48" t="str">
        <f>'Examens accrédités et ajouts'!F446</f>
        <v>Sang</v>
      </c>
      <c r="E433" s="182" t="str">
        <f>'Examens accrédités et ajouts'!Q446</f>
        <v>BM CB07  _ A _ Colorimétrie _ Quantitatif _ Automatisée _ 1 _ SYSMEX :
CN 3500</v>
      </c>
      <c r="F433" s="48" t="str">
        <f>'Examens accrédités et ajouts'!L446</f>
        <v>16833 v4</v>
      </c>
      <c r="G433" s="48">
        <f>'Examens accrédités et ajouts'!M446</f>
        <v>0</v>
      </c>
    </row>
    <row r="434" spans="1:7" hidden="1" x14ac:dyDescent="0.2">
      <c r="A434" s="48" t="str">
        <f>'Examens accrédités et ajouts'!A447</f>
        <v>HOPITAL CHARLES NICOLLE CHU ROUEN</v>
      </c>
      <c r="B434" s="48" t="str">
        <f>'Examens accrédités et ajouts'!B447</f>
        <v>Hématologie</v>
      </c>
      <c r="C434" s="48" t="str">
        <f>'Examens accrédités et ajouts'!E447</f>
        <v>Mutation G20210A du facteur II</v>
      </c>
      <c r="D434" s="48" t="str">
        <f>'Examens accrédités et ajouts'!F447</f>
        <v>Plasma</v>
      </c>
      <c r="E434" s="182" t="str">
        <f>'Examens accrédités et ajouts'!Q447</f>
        <v>BM GC04 _ B _ PCR temps réel avec détection de fluorescence _ Qualitatif _ Manuelle _ 1 _ Automate: 7500 Fast Real-Time PCR System (Applied Biosystems®, ref 4351107)</v>
      </c>
      <c r="F434" s="48" t="str">
        <f>'Examens accrédités et ajouts'!L447</f>
        <v>28665 v2</v>
      </c>
      <c r="G434" s="48" t="str">
        <f>'Examens accrédités et ajouts'!M447</f>
        <v>Cadre:
Anomalies moléculaires d'hémostase</v>
      </c>
    </row>
    <row r="435" spans="1:7" hidden="1" x14ac:dyDescent="0.2">
      <c r="A435" s="48" t="str">
        <f>'Examens accrédités et ajouts'!A448</f>
        <v>HOPITAL CHARLES NICOLLE CHU ROUEN</v>
      </c>
      <c r="B435" s="48" t="str">
        <f>'Examens accrédités et ajouts'!B448</f>
        <v>Hématologie</v>
      </c>
      <c r="C435" s="48" t="str">
        <f>'Examens accrédités et ajouts'!E448</f>
        <v>Mutation Leiden du facteur V</v>
      </c>
      <c r="D435" s="48" t="str">
        <f>'Examens accrédités et ajouts'!F448</f>
        <v>Plasma</v>
      </c>
      <c r="E435" s="182" t="str">
        <f>'Examens accrédités et ajouts'!Q448</f>
        <v>BM GC04 _ B _ PCR temps réel avec détection de fluorescence _ Qualitatif _ Manuelle _ 1 _ Automate: 7500 Fast Real-Time PCR System (Applied Biosystems®, ref 4351107)</v>
      </c>
      <c r="F435" s="48" t="str">
        <f>'Examens accrédités et ajouts'!L448</f>
        <v>28666 v2</v>
      </c>
      <c r="G435" s="48" t="str">
        <f>'Examens accrédités et ajouts'!M448</f>
        <v>Cadre:
Anomalies moléculaires d'hémostase</v>
      </c>
    </row>
    <row r="436" spans="1:7" hidden="1" x14ac:dyDescent="0.2">
      <c r="A436" s="48" t="str">
        <f>'Examens accrédités et ajouts'!A449</f>
        <v>HOPITAL CHARLES NICOLLE CHU ROUEN</v>
      </c>
      <c r="B436" s="48" t="str">
        <f>'Examens accrédités et ajouts'!B449</f>
        <v>Hématologie</v>
      </c>
      <c r="C436" s="48" t="str">
        <f>'Examens accrédités et ajouts'!E449</f>
        <v>Réticulocytes méthode automatisée</v>
      </c>
      <c r="D436" s="48" t="str">
        <f>'Examens accrédités et ajouts'!F449</f>
        <v>Sang</v>
      </c>
      <c r="E436" s="182" t="str">
        <f>'Examens accrédités et ajouts'!Q449</f>
        <v xml:space="preserve">BM HB01 _ A _ Mesure par cytométrie de flux de la fluorescence de l'ARN des réticulocytes. _ Quantitatif _ Automatisée _ 2 _ SYSMEX XN10 </v>
      </c>
      <c r="F436" s="48" t="str">
        <f>'Examens accrédités et ajouts'!L449</f>
        <v>9899 v12</v>
      </c>
      <c r="G436" s="48">
        <f>'Examens accrédités et ajouts'!M449</f>
        <v>0</v>
      </c>
    </row>
    <row r="437" spans="1:7" hidden="1" x14ac:dyDescent="0.2">
      <c r="A437" s="48" t="str">
        <f>'Examens accrédités et ajouts'!A450</f>
        <v>HOPITAL CHARLES NICOLLE CHU ROUEN</v>
      </c>
      <c r="B437" s="48" t="str">
        <f>'Examens accrédités et ajouts'!B450</f>
        <v>Hématologie</v>
      </c>
      <c r="C437" s="48" t="str">
        <f>'Examens accrédités et ajouts'!E450</f>
        <v>Réticulocytes méthode manuelle</v>
      </c>
      <c r="D437" s="48" t="str">
        <f>'Examens accrédités et ajouts'!F450</f>
        <v>Sang</v>
      </c>
      <c r="E437" s="182" t="str">
        <f>'Examens accrédités et ajouts'!Q450</f>
        <v xml:space="preserve">BM HB01 _ A _ Identification morphologique des réticulocytes
après coloration au bleu de crésyl par
microscopie optique. Identification au
microscope (à l’aide d’un oculaire quadrillé : le
réticule) des réticulocytes colorés au bleu de
crésyl qui colore et précipite l'ARN. _ Quantitatif _ Manuelle _  _ </v>
      </c>
      <c r="F437" s="48" t="str">
        <f>'Examens accrédités et ajouts'!L450</f>
        <v>27652 v2</v>
      </c>
      <c r="G437" s="48">
        <f>'Examens accrédités et ajouts'!M450</f>
        <v>0</v>
      </c>
    </row>
    <row r="438" spans="1:7" hidden="1" x14ac:dyDescent="0.2">
      <c r="A438" s="48" t="str">
        <f>'Examens accrédités et ajouts'!A451</f>
        <v>HOPITAL CHARLES NICOLLE CHU ROUEN</v>
      </c>
      <c r="B438" s="48" t="str">
        <f>'Examens accrédités et ajouts'!B451</f>
        <v>Hématologie</v>
      </c>
      <c r="C438" s="48" t="str">
        <f>'Examens accrédités et ajouts'!E451</f>
        <v>Plaquettes à l'hématimètre</v>
      </c>
      <c r="D438" s="48" t="str">
        <f>'Examens accrédités et ajouts'!F451</f>
        <v>Sang</v>
      </c>
      <c r="E438" s="182" t="str">
        <f>'Examens accrédités et ajouts'!Q451</f>
        <v xml:space="preserve">BM HB01 _ A _ Compte des Plaquettes en chambre de comptage en microscopie optique _ Qualitatif _ Manuelle _  _ </v>
      </c>
      <c r="F438" s="48" t="str">
        <f>'Examens accrédités et ajouts'!L451</f>
        <v>14859 v3</v>
      </c>
      <c r="G438" s="48">
        <f>'Examens accrédités et ajouts'!M451</f>
        <v>0</v>
      </c>
    </row>
    <row r="439" spans="1:7" hidden="1" x14ac:dyDescent="0.2">
      <c r="A439" s="48" t="str">
        <f>'Examens accrédités et ajouts'!A452</f>
        <v>HOPITAL CHARLES NICOLLE CHU ROUEN</v>
      </c>
      <c r="B439" s="48" t="str">
        <f>'Examens accrédités et ajouts'!B452</f>
        <v>Hématologie</v>
      </c>
      <c r="C439" s="48" t="str">
        <f>'Examens accrédités et ajouts'!E452</f>
        <v>Globules Blancs à l'hématimètre</v>
      </c>
      <c r="D439" s="48" t="str">
        <f>'Examens accrédités et ajouts'!F452</f>
        <v>Sang</v>
      </c>
      <c r="E439" s="182" t="str">
        <f>'Examens accrédités et ajouts'!Q452</f>
        <v xml:space="preserve">BM HB01 _ A _ Compte des Globules blancs en chambre de comptage en microscopie optique _ Qualitatif _ Manuelle _  _ </v>
      </c>
      <c r="F439" s="48" t="str">
        <f>'Examens accrédités et ajouts'!L452</f>
        <v>14897 v2</v>
      </c>
      <c r="G439" s="48">
        <f>'Examens accrédités et ajouts'!M452</f>
        <v>0</v>
      </c>
    </row>
    <row r="440" spans="1:7" hidden="1" x14ac:dyDescent="0.2">
      <c r="A440" s="48" t="str">
        <f>'Examens accrédités et ajouts'!A453</f>
        <v>HOPITAL CHARLES NICOLLE CHU ROUEN</v>
      </c>
      <c r="B440" s="48" t="str">
        <f>'Examens accrédités et ajouts'!B453</f>
        <v>Hématologie</v>
      </c>
      <c r="C440" s="48" t="str">
        <f>'Examens accrédités et ajouts'!E453</f>
        <v>Recherche de cellules de sézary</v>
      </c>
      <c r="D440" s="48" t="str">
        <f>'Examens accrédités et ajouts'!F453</f>
        <v>Sang</v>
      </c>
      <c r="E440" s="182" t="str">
        <f>'Examens accrédités et ajouts'!Q453</f>
        <v xml:space="preserve">BM HB01 _ A _ Recherche de cellules de sézary sur frottis sanguin _ Qualitatif _ Manuelle _  _ </v>
      </c>
      <c r="F440" s="48" t="str">
        <f>'Examens accrédités et ajouts'!L453</f>
        <v>14907 V2</v>
      </c>
      <c r="G440" s="48">
        <f>'Examens accrédités et ajouts'!M453</f>
        <v>0</v>
      </c>
    </row>
    <row r="441" spans="1:7" hidden="1" x14ac:dyDescent="0.2">
      <c r="A441" s="48" t="str">
        <f>'Examens accrédités et ajouts'!A454</f>
        <v>HOPITAL CHARLES NICOLLE CHU ROUEN</v>
      </c>
      <c r="B441" s="48" t="str">
        <f>'Examens accrédités et ajouts'!B454</f>
        <v>Hématologie</v>
      </c>
      <c r="C441" s="48" t="str">
        <f>'Examens accrédités et ajouts'!E454</f>
        <v>Recherche de lymphocytes vacuolés</v>
      </c>
      <c r="D441" s="48" t="str">
        <f>'Examens accrédités et ajouts'!F454</f>
        <v>Sang</v>
      </c>
      <c r="E441" s="182" t="str">
        <f>'Examens accrédités et ajouts'!Q454</f>
        <v xml:space="preserve">BM HB01 _ A _ Recherche de lymphocytes vacuolés sur frottis sanguin _ Qualitatif _ Manuelle _  _ </v>
      </c>
      <c r="F441" s="48" t="str">
        <f>'Examens accrédités et ajouts'!L454</f>
        <v>14907 V2</v>
      </c>
      <c r="G441" s="48">
        <f>'Examens accrédités et ajouts'!M454</f>
        <v>0</v>
      </c>
    </row>
    <row r="442" spans="1:7" hidden="1" x14ac:dyDescent="0.2">
      <c r="A442" s="48" t="str">
        <f>'Examens accrédités et ajouts'!A455</f>
        <v>HOPITAL CHARLES NICOLLE CHU ROUEN</v>
      </c>
      <c r="B442" s="48" t="str">
        <f>'Examens accrédités et ajouts'!B455</f>
        <v>Hématologie</v>
      </c>
      <c r="C442" s="48" t="str">
        <f>'Examens accrédités et ajouts'!E455</f>
        <v>Recherche d'hématies ponctuées</v>
      </c>
      <c r="D442" s="48" t="str">
        <f>'Examens accrédités et ajouts'!F455</f>
        <v>Sang</v>
      </c>
      <c r="E442" s="182" t="str">
        <f>'Examens accrédités et ajouts'!Q455</f>
        <v xml:space="preserve">BM HB01 _ A _ Recherche au microscope d'hématies contenant des granulations basophiles. _ Qualitatif _ Manuelle _  _ </v>
      </c>
      <c r="F442" s="48" t="str">
        <f>'Examens accrédités et ajouts'!L455</f>
        <v>14907 V2</v>
      </c>
      <c r="G442" s="48">
        <f>'Examens accrédités et ajouts'!M455</f>
        <v>0</v>
      </c>
    </row>
    <row r="443" spans="1:7" hidden="1" x14ac:dyDescent="0.2">
      <c r="A443" s="48" t="str">
        <f>'Examens accrédités et ajouts'!A456</f>
        <v>HOPITAL CHARLES NICOLLE CHU ROUEN</v>
      </c>
      <c r="B443" s="48" t="str">
        <f>'Examens accrédités et ajouts'!B456</f>
        <v>Hématologie</v>
      </c>
      <c r="C443" s="48" t="str">
        <f>'Examens accrédités et ajouts'!E456</f>
        <v>Recherche de Tricholeucocytes</v>
      </c>
      <c r="D443" s="48" t="str">
        <f>'Examens accrédités et ajouts'!F456</f>
        <v>Sang</v>
      </c>
      <c r="E443" s="182" t="str">
        <f>'Examens accrédités et ajouts'!Q456</f>
        <v xml:space="preserve">BM HB01 _ A _ Recherche de cellules atypiques sur frottis sanguin. _ Qualitatif _ Manuelle _  _ </v>
      </c>
      <c r="F443" s="48" t="str">
        <f>'Examens accrédités et ajouts'!L456</f>
        <v>14907 V2</v>
      </c>
      <c r="G443" s="48">
        <f>'Examens accrédités et ajouts'!M456</f>
        <v>0</v>
      </c>
    </row>
    <row r="444" spans="1:7" hidden="1" x14ac:dyDescent="0.2">
      <c r="A444" s="48" t="str">
        <f>'Examens accrédités et ajouts'!A457</f>
        <v>HOPITAL CHARLES NICOLLE CHU ROUEN</v>
      </c>
      <c r="B444" s="48" t="str">
        <f>'Examens accrédités et ajouts'!B457</f>
        <v>Hématologie</v>
      </c>
      <c r="C444" s="48" t="str">
        <f>'Examens accrédités et ajouts'!E457</f>
        <v>Hémoglobine plasmatique</v>
      </c>
      <c r="D444" s="48" t="str">
        <f>'Examens accrédités et ajouts'!F457</f>
        <v>Plasma</v>
      </c>
      <c r="E444" s="182" t="str">
        <f>'Examens accrédités et ajouts'!Q457</f>
        <v xml:space="preserve">BM HB01 _ A _ Photométrie par une dilution dans une cuve spécifique _ Quantitatif _ Automatisée _ 3 _ SYSMEX XN10; </v>
      </c>
      <c r="F444" s="48" t="str">
        <f>'Examens accrédités et ajouts'!L457</f>
        <v>9899 v12</v>
      </c>
      <c r="G444" s="48">
        <f>'Examens accrédités et ajouts'!M457</f>
        <v>0</v>
      </c>
    </row>
    <row r="445" spans="1:7" hidden="1" x14ac:dyDescent="0.2">
      <c r="A445" s="48" t="str">
        <f>'Examens accrédités et ajouts'!A458</f>
        <v>HOPITAL CHARLES NICOLLE CHU ROUEN</v>
      </c>
      <c r="B445" s="48" t="str">
        <f>'Examens accrédités et ajouts'!B458</f>
        <v>Hématologie</v>
      </c>
      <c r="C445" s="48" t="str">
        <f>'Examens accrédités et ajouts'!E458</f>
        <v>Test de Kleihauer</v>
      </c>
      <c r="D445" s="48" t="str">
        <f>'Examens accrédités et ajouts'!F458</f>
        <v>Sang</v>
      </c>
      <c r="E445" s="182" t="str">
        <f>'Examens accrédités et ajouts'!Q458</f>
        <v xml:space="preserve">BM HB01 _ B _ Identification morphologique après coloration  _ Quantitative _ Manuelle _  _ </v>
      </c>
      <c r="F445" s="48" t="str">
        <f>'Examens accrédités et ajouts'!L458</f>
        <v>30014 V1</v>
      </c>
      <c r="G445" s="48" t="str">
        <f>'Examens accrédités et ajouts'!M458</f>
        <v>extension 2019 auditée en mai 2024</v>
      </c>
    </row>
    <row r="446" spans="1:7" hidden="1" x14ac:dyDescent="0.2">
      <c r="A446" s="48" t="str">
        <f>'Examens accrédités et ajouts'!A459</f>
        <v>HOPITAL CHARLES NICOLLE CHU ROUEN</v>
      </c>
      <c r="B446" s="48" t="str">
        <f>'Examens accrédités et ajouts'!B459</f>
        <v>Hématologie</v>
      </c>
      <c r="C446" s="48" t="str">
        <f>'Examens accrédités et ajouts'!E459</f>
        <v>Myélogramme</v>
      </c>
      <c r="D446" s="48" t="str">
        <f>'Examens accrédités et ajouts'!F459</f>
        <v>Moelle</v>
      </c>
      <c r="E446" s="182" t="str">
        <f>'Examens accrédités et ajouts'!Q459</f>
        <v xml:space="preserve">BM HB02 _ B _ Identification morphologique après coloration  _ Qualitative _ Manuelle _  _ </v>
      </c>
      <c r="F446" s="48" t="str">
        <f>'Examens accrédités et ajouts'!L459</f>
        <v>30197 V1</v>
      </c>
      <c r="G446" s="48" t="str">
        <f>'Examens accrédités et ajouts'!M459</f>
        <v>extension 2019 auditée en mai 2024</v>
      </c>
    </row>
    <row r="447" spans="1:7" hidden="1" x14ac:dyDescent="0.2">
      <c r="A447" s="48" t="str">
        <f>'Examens accrédités et ajouts'!A460</f>
        <v>HOPITAL CHARLES NICOLLE CHU ROUEN</v>
      </c>
      <c r="B447" s="48" t="str">
        <f>'Examens accrédités et ajouts'!B460</f>
        <v>Hématologie</v>
      </c>
      <c r="C447" s="48" t="str">
        <f>'Examens accrédités et ajouts'!E460</f>
        <v>Pool de moelle</v>
      </c>
      <c r="D447" s="48" t="str">
        <f>'Examens accrédités et ajouts'!F460</f>
        <v>Moelle</v>
      </c>
      <c r="E447" s="182" t="str">
        <f>'Examens accrédités et ajouts'!Q460</f>
        <v xml:space="preserve">BM HB02 _ B _ Identification morphologique après coloration  _ Qualitative _ Manuelle _  _ </v>
      </c>
      <c r="F447" s="48" t="str">
        <f>'Examens accrédités et ajouts'!L460</f>
        <v>30197 V1</v>
      </c>
      <c r="G447" s="48" t="str">
        <f>'Examens accrédités et ajouts'!M460</f>
        <v>extension 2019 auditée en mai 2024</v>
      </c>
    </row>
    <row r="448" spans="1:7" hidden="1" x14ac:dyDescent="0.2">
      <c r="A448" s="48" t="str">
        <f>'Examens accrédités et ajouts'!A461</f>
        <v>HOPITAL CHARLES NICOLLE CHU ROUEN</v>
      </c>
      <c r="B448" s="48" t="str">
        <f>'Examens accrédités et ajouts'!B461</f>
        <v>Hématologie</v>
      </c>
      <c r="C448" s="48" t="str">
        <f>'Examens accrédités et ajouts'!E461</f>
        <v>Adénogramme dans le cadre d'une hémopathie</v>
      </c>
      <c r="D448" s="48" t="str">
        <f>'Examens accrédités et ajouts'!F461</f>
        <v>Ponction ganglionnaire</v>
      </c>
      <c r="E448" s="182" t="str">
        <f>'Examens accrédités et ajouts'!Q461</f>
        <v xml:space="preserve">BM HB02 _ B _ Identification morphologique après coloration  _ Qualitative _ Manuelle _  _ </v>
      </c>
      <c r="F448" s="48" t="str">
        <f>'Examens accrédités et ajouts'!L461</f>
        <v>30197 V1</v>
      </c>
      <c r="G448" s="48" t="str">
        <f>'Examens accrédités et ajouts'!M461</f>
        <v>extension 2019 auditée en mai 2024</v>
      </c>
    </row>
    <row r="449" spans="1:7" hidden="1" x14ac:dyDescent="0.2">
      <c r="A449" s="48" t="str">
        <f>'Examens accrédités et ajouts'!A462</f>
        <v>HOPITAL CHARLES NICOLLE CHU ROUEN</v>
      </c>
      <c r="B449" s="48" t="str">
        <f>'Examens accrédités et ajouts'!B462</f>
        <v>Hématologie</v>
      </c>
      <c r="C449" s="48" t="str">
        <f>'Examens accrédités et ajouts'!E462</f>
        <v>Test d'Itano</v>
      </c>
      <c r="D449" s="48" t="str">
        <f>'Examens accrédités et ajouts'!F462</f>
        <v>Sang</v>
      </c>
      <c r="E449" s="182" t="str">
        <f>'Examens accrédités et ajouts'!Q462</f>
        <v xml:space="preserve">BM HB05 _ B _ Test d’hémolyse, lecture visuelle _ Qualitative _ Manuelle _  _ </v>
      </c>
      <c r="F449" s="48" t="str">
        <f>'Examens accrédités et ajouts'!L462</f>
        <v>28663 V2</v>
      </c>
      <c r="G449" s="48" t="str">
        <f>'Examens accrédités et ajouts'!M462</f>
        <v>extension 2019 auditée en mai 2024 Processus complexe "Etude de l'hémoglobine" aussi sur les lignes de portées BB02</v>
      </c>
    </row>
    <row r="450" spans="1:7" hidden="1" x14ac:dyDescent="0.2">
      <c r="A450" s="48" t="str">
        <f>'Examens accrédités et ajouts'!A463</f>
        <v>HOPITAL CHARLES NICOLLE CHU ROUEN</v>
      </c>
      <c r="B450" s="48" t="str">
        <f>'Examens accrédités et ajouts'!B463</f>
        <v>Hématologie</v>
      </c>
      <c r="C450" s="48" t="str">
        <f>'Examens accrédités et ajouts'!E463</f>
        <v>Dépistage de la Sphérocytose - test à l'EMA</v>
      </c>
      <c r="D450" s="48" t="str">
        <f>'Examens accrédités et ajouts'!F463</f>
        <v>Sang</v>
      </c>
      <c r="E450" s="182" t="str">
        <f>'Examens accrédités et ajouts'!Q463</f>
        <v>BM HB06 _ B _ Mesure de l’intensité de fluorescence de l’éosine-5-maléimide, qui se lie de façon covalente à la protéine band 3, par cytométrie en flux. _ Quantitatif _ Semi-automatisée _ 2 _ Cytomètre de flux</v>
      </c>
      <c r="F450" s="48" t="str">
        <f>'Examens accrédités et ajouts'!L463</f>
        <v>36319 v1</v>
      </c>
      <c r="G450" s="48" t="str">
        <f>'Examens accrédités et ajouts'!M463</f>
        <v xml:space="preserve">Processus complexe "dépistage de la sphérocytose" </v>
      </c>
    </row>
    <row r="451" spans="1:7" hidden="1" x14ac:dyDescent="0.2">
      <c r="A451" s="48" t="str">
        <f>'Examens accrédités et ajouts'!A464</f>
        <v>HOPITAL CHARLES NICOLLE CHU ROUEN</v>
      </c>
      <c r="B451" s="48" t="str">
        <f>'Examens accrédités et ajouts'!B464</f>
        <v>Hématologie</v>
      </c>
      <c r="C451" s="48" t="str">
        <f>'Examens accrédités et ajouts'!E464</f>
        <v>Dépistage de la Sphérocytose - test de fragilité osmotique</v>
      </c>
      <c r="D451" s="48" t="str">
        <f>'Examens accrédités et ajouts'!F464</f>
        <v>Sang</v>
      </c>
      <c r="E451" s="182" t="str">
        <f>'Examens accrédités et ajouts'!Q464</f>
        <v>BM HB06 _ B _ Décompte par cytométrie en flux du nombre de globules rouges avant et après ajout d’eau distillée. _ Quantitatif _ Semi-automatisée _ 2 _ Cytomètre de flux</v>
      </c>
      <c r="F451" s="48" t="str">
        <f>'Examens accrédités et ajouts'!L464</f>
        <v>36319 v1</v>
      </c>
      <c r="G451" s="48" t="str">
        <f>'Examens accrédités et ajouts'!M464</f>
        <v xml:space="preserve">Processus complexe "dépistage de la sphérocytose" </v>
      </c>
    </row>
    <row r="452" spans="1:7" hidden="1" x14ac:dyDescent="0.2">
      <c r="A452" s="48" t="str">
        <f>'Examens accrédités et ajouts'!A465</f>
        <v>HOPITAL CHARLES NICOLLE CHU ROUEN</v>
      </c>
      <c r="B452" s="48" t="str">
        <f>'Examens accrédités et ajouts'!B465</f>
        <v>Hématologie</v>
      </c>
      <c r="C452" s="48" t="str">
        <f>'Examens accrédités et ajouts'!E465</f>
        <v>Typage des hémopathies (sang)</v>
      </c>
      <c r="D452" s="48" t="str">
        <f>'Examens accrédités et ajouts'!F465</f>
        <v>Sang</v>
      </c>
      <c r="E452" s="182" t="str">
        <f>'Examens accrédités et ajouts'!Q465</f>
        <v>BM HB06 _ B _ Quantification d'un signal lumineux _ Quantitatif _ Semi-automatisée _ 2 _ Cytomètre de flux</v>
      </c>
      <c r="F452" s="48" t="str">
        <f>'Examens accrédités et ajouts'!L465</f>
        <v>22296 v10</v>
      </c>
      <c r="G452" s="48" t="str">
        <f>'Examens accrédités et ajouts'!M465</f>
        <v>Cadre: Exploration des hémopathies</v>
      </c>
    </row>
    <row r="453" spans="1:7" hidden="1" x14ac:dyDescent="0.2">
      <c r="A453" s="48" t="str">
        <f>'Examens accrédités et ajouts'!A466</f>
        <v>HOPITAL CHARLES NICOLLE CHU ROUEN</v>
      </c>
      <c r="B453" s="48" t="str">
        <f>'Examens accrédités et ajouts'!B466</f>
        <v>Hématologie</v>
      </c>
      <c r="C453" s="48" t="str">
        <f>'Examens accrédités et ajouts'!E466</f>
        <v>Recherche de déficit en G6PD par cytométrie en flux</v>
      </c>
      <c r="D453" s="48" t="str">
        <f>'Examens accrédités et ajouts'!F466</f>
        <v>Sang</v>
      </c>
      <c r="E453" s="182" t="str">
        <f>'Examens accrédités et ajouts'!Q466</f>
        <v>BM HB06 _ B _ fluorescence des globules rouges _ Quantitatif _ Auomatisée _ 2 _ Cytmètre  NAVIOS EX Beckman Coulter</v>
      </c>
      <c r="F453" s="48" t="str">
        <f>'Examens accrédités et ajouts'!L466</f>
        <v>29961 v5</v>
      </c>
      <c r="G453" s="48" t="str">
        <f>'Examens accrédités et ajouts'!M466</f>
        <v>Processus complexe "Dosage des enzymes érythocytaires" aussi en ligne de portée BB01
ajout après audit de mai 2024 (fiche sapanet 18823)</v>
      </c>
    </row>
    <row r="454" spans="1:7" hidden="1" x14ac:dyDescent="0.2">
      <c r="A454" s="48" t="str">
        <f>'Examens accrédités et ajouts'!A467</f>
        <v>HOPITAL CHARLES NICOLLE CHU ROUEN</v>
      </c>
      <c r="B454" s="48" t="str">
        <f>'Examens accrédités et ajouts'!B467</f>
        <v>Hématologie</v>
      </c>
      <c r="C454" s="48" t="str">
        <f>'Examens accrédités et ajouts'!E467</f>
        <v>Numération des CD34</v>
      </c>
      <c r="D454" s="48" t="str">
        <f>'Examens accrédités et ajouts'!F467</f>
        <v>Sang</v>
      </c>
      <c r="E454" s="182" t="str">
        <f>'Examens accrédités et ajouts'!Q467</f>
        <v>BM HB06 _ A _ Quantification d'un signal lumineux _ Quantitatif _ Semi-automatisée _ 2 _ Cytomètre de flux</v>
      </c>
      <c r="F454" s="48" t="str">
        <f>'Examens accrédités et ajouts'!L467</f>
        <v>26279 v7</v>
      </c>
      <c r="G454" s="48">
        <f>'Examens accrédités et ajouts'!M467</f>
        <v>0</v>
      </c>
    </row>
    <row r="455" spans="1:7" hidden="1" x14ac:dyDescent="0.2">
      <c r="A455" s="48" t="str">
        <f>'Examens accrédités et ajouts'!A468</f>
        <v>HOPITAL CHARLES NICOLLE CHU ROUEN</v>
      </c>
      <c r="B455" s="48" t="str">
        <f>'Examens accrédités et ajouts'!B468</f>
        <v>Hématologie</v>
      </c>
      <c r="C455" s="48" t="str">
        <f>'Examens accrédités et ajouts'!E468</f>
        <v>Immunophénotypage des hémopathies - méthode qualitative avec myélopéroxydase</v>
      </c>
      <c r="D455" s="48" t="str">
        <f>'Examens accrédités et ajouts'!F468</f>
        <v>sang total, moelle, liquide céphalo-rachidien, ascite, pleural, liquide péricardique, liquide broncho-alvéolaire, ganglion, biopsie</v>
      </c>
      <c r="E455" s="182" t="str">
        <f>'Examens accrédités et ajouts'!Q468</f>
        <v>BM HB06 _ B _  cytométrie en flux (détection d'un signal lumineux) _ Qualitatif _ Semi-automatisée _ 2 _ Cytomètre de flux</v>
      </c>
      <c r="F455" s="48" t="str">
        <f>'Examens accrédités et ajouts'!L468</f>
        <v>38426 v1</v>
      </c>
      <c r="G455" s="48">
        <f>'Examens accrédités et ajouts'!M468</f>
        <v>0</v>
      </c>
    </row>
    <row r="456" spans="1:7" hidden="1" x14ac:dyDescent="0.2">
      <c r="A456" s="48" t="str">
        <f>'Examens accrédités et ajouts'!A469</f>
        <v>HOPITAL CHARLES NICOLLE CHU ROUEN</v>
      </c>
      <c r="B456" s="48" t="str">
        <f>'Examens accrédités et ajouts'!B469</f>
        <v>Immunologie</v>
      </c>
      <c r="C456" s="48" t="str">
        <f>'Examens accrédités et ajouts'!E469</f>
        <v>Phenotypage des lymphocytes T CD4+ et CD8+</v>
      </c>
      <c r="D456" s="48" t="str">
        <f>'Examens accrédités et ajouts'!F469</f>
        <v>sang</v>
      </c>
      <c r="E456" s="182" t="str">
        <f>'Examens accrédités et ajouts'!Q469</f>
        <v>BM IC01 _ B _ cytométrie en flux determination de la valeur absolue par calcul à partir de la numération formule sanguine _ quantitatif _ automatisée _ 2 _ Navios (Beckman Coulter)</v>
      </c>
      <c r="F456" s="48" t="str">
        <f>'Examens accrédités et ajouts'!L469</f>
        <v>16582 v2</v>
      </c>
      <c r="G456" s="48">
        <f>'Examens accrédités et ajouts'!M469</f>
        <v>0</v>
      </c>
    </row>
    <row r="457" spans="1:7" hidden="1" x14ac:dyDescent="0.2">
      <c r="A457" s="48" t="str">
        <f>'Examens accrédités et ajouts'!A470</f>
        <v>HOPITAL CHARLES NICOLLE CHU ROUEN</v>
      </c>
      <c r="B457" s="48" t="str">
        <f>'Examens accrédités et ajouts'!B470</f>
        <v>Immunologie</v>
      </c>
      <c r="C457" s="48" t="str">
        <f>'Examens accrédités et ajouts'!E470</f>
        <v>Phenotypage des lymphocytes T CD4+ et CD8+</v>
      </c>
      <c r="D457" s="48" t="str">
        <f>'Examens accrédités et ajouts'!F470</f>
        <v>sang</v>
      </c>
      <c r="E457" s="182" t="str">
        <f>'Examens accrédités et ajouts'!Q470</f>
        <v>BM IC01 _ B _ cytométrie en flux determination de la valeur absolue à partir de billes de calibration _ quantitatif _ automatisée _ 2 _ Navios (Beckman Coulter)</v>
      </c>
      <c r="F457" s="48" t="str">
        <f>'Examens accrédités et ajouts'!L470</f>
        <v>16582 v2</v>
      </c>
      <c r="G457" s="48">
        <f>'Examens accrédités et ajouts'!M470</f>
        <v>0</v>
      </c>
    </row>
    <row r="458" spans="1:7" hidden="1" x14ac:dyDescent="0.2">
      <c r="A458" s="48" t="str">
        <f>'Examens accrédités et ajouts'!A471</f>
        <v>HOPITAL CHARLES NICOLLE CHU ROUEN</v>
      </c>
      <c r="B458" s="48" t="str">
        <f>'Examens accrédités et ajouts'!B471</f>
        <v>Parasitologie</v>
      </c>
      <c r="C458" s="48" t="str">
        <f>'Examens accrédités et ajouts'!E471</f>
        <v>Recherche d'antigènes aspergillaires</v>
      </c>
      <c r="D458" s="48" t="str">
        <f>'Examens accrédités et ajouts'!F471</f>
        <v>sérum</v>
      </c>
      <c r="E458" s="182" t="str">
        <f>'Examens accrédités et ajouts'!Q471</f>
        <v>BM MG01 _ A _ détection immuno-enzymatique _ quantitatif _ automatisée _ 1 _ EVOLIS, Biorad</v>
      </c>
      <c r="F458" s="48" t="str">
        <f>'Examens accrédités et ajouts'!L471</f>
        <v>28397 v1</v>
      </c>
      <c r="G458" s="48">
        <f>'Examens accrédités et ajouts'!M471</f>
        <v>0</v>
      </c>
    </row>
    <row r="459" spans="1:7" hidden="1" x14ac:dyDescent="0.2">
      <c r="A459" s="48" t="str">
        <f>'Examens accrédités et ajouts'!A472</f>
        <v>HOPITAL CHARLES NICOLLE CHU ROUEN</v>
      </c>
      <c r="B459" s="48" t="str">
        <f>'Examens accrédités et ajouts'!B472</f>
        <v>Parasitologie</v>
      </c>
      <c r="C459" s="48" t="str">
        <f>'Examens accrédités et ajouts'!E472</f>
        <v>Réalisation d'antifongigrammes</v>
      </c>
      <c r="D459" s="48" t="str">
        <f>'Examens accrédités et ajouts'!F472</f>
        <v>culture fongique</v>
      </c>
      <c r="E459" s="182" t="str">
        <f>'Examens accrédités et ajouts'!Q472</f>
        <v xml:space="preserve">BM MG12 _ A _ e test _ qualitatif _ manuelle _  _ </v>
      </c>
      <c r="F459" s="48" t="str">
        <f>'Examens accrédités et ajouts'!L472</f>
        <v>17050 v3</v>
      </c>
      <c r="G459" s="48">
        <f>'Examens accrédités et ajouts'!M472</f>
        <v>0</v>
      </c>
    </row>
    <row r="460" spans="1:7" hidden="1" x14ac:dyDescent="0.2">
      <c r="A460" s="48" t="str">
        <f>'Examens accrédités et ajouts'!A473</f>
        <v>HOPITAL CHARLES NICOLLE CHU ROUEN</v>
      </c>
      <c r="B460" s="48" t="str">
        <f>'Examens accrédités et ajouts'!B473</f>
        <v>Parasitologie</v>
      </c>
      <c r="C460" s="48" t="str">
        <f>'Examens accrédités et ajouts'!E473</f>
        <v xml:space="preserve">identification des champignons filamenteux
</v>
      </c>
      <c r="D460" s="48" t="str">
        <f>'Examens accrédités et ajouts'!F473</f>
        <v>culture (colonie) fongique</v>
      </c>
      <c r="E460" s="182" t="str">
        <f>'Examens accrédités et ajouts'!Q473</f>
        <v>BM PM01 _ A _ identification sur critères macro/microscopique et maldi-tof _ qualitatif _ manuelle pour Examen macro et microscopique, automatisée pour spectrométrie de masse _ 2 _ Maldi tof Brucker - systeme IVD Maldi Biotyper</v>
      </c>
      <c r="F460" s="48" t="str">
        <f>'Examens accrédités et ajouts'!L473</f>
        <v>28710 v2</v>
      </c>
      <c r="G460" s="48" t="str">
        <f>'Examens accrédités et ajouts'!M473</f>
        <v>extension 2019 auditée en mai 2024
Suite MG12</v>
      </c>
    </row>
    <row r="461" spans="1:7" hidden="1" x14ac:dyDescent="0.2">
      <c r="A461" s="48" t="str">
        <f>'Examens accrédités et ajouts'!A474</f>
        <v>HOPITAL CHARLES NICOLLE CHU ROUEN</v>
      </c>
      <c r="B461" s="48" t="str">
        <f>'Examens accrédités et ajouts'!B474</f>
        <v>Parasitologie</v>
      </c>
      <c r="C461" s="48" t="str">
        <f>'Examens accrédités et ajouts'!E474</f>
        <v xml:space="preserve">Recherche d'ADN de Pneumocystis jirovecii
</v>
      </c>
      <c r="D461" s="48" t="str">
        <f>'Examens accrédités et ajouts'!F474</f>
        <v>Prélèvements respiratoires + extraits d'ADN</v>
      </c>
      <c r="E461" s="182" t="str">
        <f>'Examens accrédités et ajouts'!Q474</f>
        <v>BM PM02 _ A _ détection d'acides nucléiques _ qualitatif _ automatisée _ 2 _ EZ1 (extraction) / CFX 96 (amplification)</v>
      </c>
      <c r="F461" s="48" t="str">
        <f>'Examens accrédités et ajouts'!L474</f>
        <v>30049 v1</v>
      </c>
      <c r="G461" s="48" t="str">
        <f>'Examens accrédités et ajouts'!M474</f>
        <v>extension 2019 auditée en mai 2024</v>
      </c>
    </row>
    <row r="462" spans="1:7" hidden="1" x14ac:dyDescent="0.2">
      <c r="A462" s="48" t="str">
        <f>'Examens accrédités et ajouts'!A475</f>
        <v>HOPITAL CHARLES NICOLLE CHU ROUEN</v>
      </c>
      <c r="B462" s="48" t="str">
        <f>'Examens accrédités et ajouts'!B475</f>
        <v>Parasitologie</v>
      </c>
      <c r="C462" s="48" t="str">
        <f>'Examens accrédités et ajouts'!E475</f>
        <v xml:space="preserve">Recherche d'ADN de Cryptosporidium sp. </v>
      </c>
      <c r="D462" s="48" t="str">
        <f>'Examens accrédités et ajouts'!F475</f>
        <v>Selles + extraits d'ADN</v>
      </c>
      <c r="E462" s="182" t="str">
        <f>'Examens accrédités et ajouts'!Q475</f>
        <v>BM PM04 _ B _ détection d'acides nucléiques _ qualitatif _ automatisée _ 3 _ 3 CFX 96 (amplification)
1 Qiacube (extraction)</v>
      </c>
      <c r="F462" s="48" t="str">
        <f>'Examens accrédités et ajouts'!L475</f>
        <v>42043 v1</v>
      </c>
      <c r="G462" s="48" t="str">
        <f>'Examens accrédités et ajouts'!M475</f>
        <v>extension 2019 auditée en mai 2024
Suite séquençage PM04</v>
      </c>
    </row>
    <row r="463" spans="1:7" hidden="1" x14ac:dyDescent="0.2">
      <c r="A463" s="48" t="str">
        <f>'Examens accrédités et ajouts'!A476</f>
        <v>HOPITAL CHARLES NICOLLE CHU ROUEN</v>
      </c>
      <c r="B463" s="48" t="str">
        <f>'Examens accrédités et ajouts'!B476</f>
        <v>Parasitologie</v>
      </c>
      <c r="C463" s="48" t="str">
        <f>'Examens accrédités et ajouts'!E476</f>
        <v>Recherche d'ADN de Toxoplasma gondii</v>
      </c>
      <c r="D463" s="48" t="str">
        <f>'Examens accrédités et ajouts'!F476</f>
        <v>sang, humeur aqueuse,,, + extraits d'ADN</v>
      </c>
      <c r="E463" s="182" t="str">
        <f>'Examens accrédités et ajouts'!Q476</f>
        <v>BM PM04 _ A _ détection d'acides nucléiques _ qualitatif _ automatisée _ 2 _ EZ1 (extraction) / CFX 96 (amplification)</v>
      </c>
      <c r="F463" s="48" t="str">
        <f>'Examens accrédités et ajouts'!L476</f>
        <v>30135 v1</v>
      </c>
      <c r="G463" s="48" t="str">
        <f>'Examens accrédités et ajouts'!M476</f>
        <v>extension 2019 auditée en mai 2024</v>
      </c>
    </row>
    <row r="464" spans="1:7" hidden="1" x14ac:dyDescent="0.2">
      <c r="A464" s="48" t="str">
        <f>'Examens accrédités et ajouts'!A477</f>
        <v>HOPITAL CHARLES NICOLLE CHU ROUEN</v>
      </c>
      <c r="B464" s="48" t="str">
        <f>'Examens accrédités et ajouts'!B477</f>
        <v>Parasitologie</v>
      </c>
      <c r="C464" s="48" t="str">
        <f>'Examens accrédités et ajouts'!E477</f>
        <v>Génotypage des souches de Cryptosporidium sp</v>
      </c>
      <c r="D464" s="48" t="str">
        <f>'Examens accrédités et ajouts'!F477</f>
        <v>Extraits d'ADN</v>
      </c>
      <c r="E464" s="182" t="str">
        <f>'Examens accrédités et ajouts'!Q477</f>
        <v>BM PM04 _ B _ Séquencage Sanger _ qualitatif _ automatisée _ 1 _ séquenceur AB 3500</v>
      </c>
      <c r="F464" s="48" t="str">
        <f>'Examens accrédités et ajouts'!L477</f>
        <v>29810 v1</v>
      </c>
      <c r="G464" s="48" t="str">
        <f>'Examens accrédités et ajouts'!M477</f>
        <v>extension 2019 auditée en mai 2024</v>
      </c>
    </row>
    <row r="465" spans="1:7" hidden="1" x14ac:dyDescent="0.2">
      <c r="A465" s="48" t="str">
        <f>'Examens accrédités et ajouts'!A478</f>
        <v>HOPITAL CHARLES NICOLLE CHU ROUEN</v>
      </c>
      <c r="B465" s="48" t="str">
        <f>'Examens accrédités et ajouts'!B478</f>
        <v>Parasitologie</v>
      </c>
      <c r="C465" s="48" t="str">
        <f>'Examens accrédités et ajouts'!E478</f>
        <v>Recherche de paludisme</v>
      </c>
      <c r="D465" s="48" t="str">
        <f>'Examens accrédités et ajouts'!F478</f>
        <v>sang EDTA</v>
      </c>
      <c r="E465" s="182" t="str">
        <f>'Examens accrédités et ajouts'!Q478</f>
        <v xml:space="preserve">BM MG13 _ A _ Frottis + Goutte épaisse + recherche d'Ag  _ qualitatif + quantitatif parasitémie sur frottis _ manuelle _  _ </v>
      </c>
      <c r="F465" s="48" t="str">
        <f>'Examens accrédités et ajouts'!L478</f>
        <v>14941 v5 / 14947 v5,/ 14948 v5</v>
      </c>
      <c r="G465" s="48" t="str">
        <f>'Examens accrédités et ajouts'!M478</f>
        <v>extension 2019 auditée en mai 2024</v>
      </c>
    </row>
    <row r="466" spans="1:7" hidden="1" x14ac:dyDescent="0.2">
      <c r="A466" s="48" t="str">
        <f>'Examens accrédités et ajouts'!A479</f>
        <v>HOPITAL CHARLES NICOLLE CHU ROUEN</v>
      </c>
      <c r="B466" s="48" t="str">
        <f>'Examens accrédités et ajouts'!B479</f>
        <v>Pharmaco -Toxicologie</v>
      </c>
      <c r="C466" s="48" t="str">
        <f>'Examens accrédités et ajouts'!E479</f>
        <v xml:space="preserve">Amikacine </v>
      </c>
      <c r="D466" s="48" t="str">
        <f>'Examens accrédités et ajouts'!F479</f>
        <v>Sang</v>
      </c>
      <c r="E466" s="182" t="str">
        <f>'Examens accrédités et ajouts'!Q479</f>
        <v>BM PT01 _ A _ Immunodosage en phase homogène (KIMS) _ Quantitatif _ Automatisée _ 2 _ Cobas Pro</v>
      </c>
      <c r="F466" s="48" t="str">
        <f>'Examens accrédités et ajouts'!L479</f>
        <v>10686 v4</v>
      </c>
      <c r="G466" s="48">
        <f>'Examens accrédités et ajouts'!M479</f>
        <v>0</v>
      </c>
    </row>
    <row r="467" spans="1:7" hidden="1" x14ac:dyDescent="0.2">
      <c r="A467" s="48" t="str">
        <f>'Examens accrédités et ajouts'!A480</f>
        <v>HOPITAL CHARLES NICOLLE CHU ROUEN</v>
      </c>
      <c r="B467" s="48" t="str">
        <f>'Examens accrédités et ajouts'!B480</f>
        <v>Pharmaco -Toxicologie</v>
      </c>
      <c r="C467" s="48" t="str">
        <f>'Examens accrédités et ajouts'!E480</f>
        <v xml:space="preserve">Vancomycine </v>
      </c>
      <c r="D467" s="48" t="str">
        <f>'Examens accrédités et ajouts'!F480</f>
        <v>Sang</v>
      </c>
      <c r="E467" s="182" t="str">
        <f>'Examens accrédités et ajouts'!Q480</f>
        <v>BM PT01 _ A _ Technique immunoenzymatique en phase homogène _ Quantitatif _ Automatisée _ 2 _ Cobas Pro</v>
      </c>
      <c r="F467" s="48" t="str">
        <f>'Examens accrédités et ajouts'!L480</f>
        <v>15049 v2</v>
      </c>
      <c r="G467" s="48" t="str">
        <f>'Examens accrédités et ajouts'!M480</f>
        <v>retirer de Flexi + le 15/09</v>
      </c>
    </row>
    <row r="468" spans="1:7" hidden="1" x14ac:dyDescent="0.2">
      <c r="A468" s="48" t="str">
        <f>'Examens accrédités et ajouts'!A481</f>
        <v>HOPITAL CHARLES NICOLLE CHU ROUEN</v>
      </c>
      <c r="B468" s="48" t="str">
        <f>'Examens accrédités et ajouts'!B481</f>
        <v>Pharmaco -Toxicologie</v>
      </c>
      <c r="C468" s="48" t="str">
        <f>'Examens accrédités et ajouts'!E481</f>
        <v xml:space="preserve">Tobramycine </v>
      </c>
      <c r="D468" s="48" t="str">
        <f>'Examens accrédités et ajouts'!F481</f>
        <v>Sang</v>
      </c>
      <c r="E468" s="182" t="str">
        <f>'Examens accrédités et ajouts'!Q481</f>
        <v>BM PT01 _ A _ Technique immunoenzymatique en phase homogène _ Quantitatif _ Automatisée _ 1 _ Cobas Pro</v>
      </c>
      <c r="F468" s="48" t="str">
        <f>'Examens accrédités et ajouts'!L481</f>
        <v>15051 v2</v>
      </c>
      <c r="G468" s="48" t="str">
        <f>'Examens accrédités et ajouts'!M481</f>
        <v>retirer de Flexi + le 15/09</v>
      </c>
    </row>
    <row r="469" spans="1:7" hidden="1" x14ac:dyDescent="0.2">
      <c r="A469" s="48" t="str">
        <f>'Examens accrédités et ajouts'!A482</f>
        <v>HOPITAL CHARLES NICOLLE CHU ROUEN</v>
      </c>
      <c r="B469" s="48" t="str">
        <f>'Examens accrédités et ajouts'!B482</f>
        <v>Pharmaco -Toxicologie</v>
      </c>
      <c r="C469" s="48" t="str">
        <f>'Examens accrédités et ajouts'!E482</f>
        <v>Gentamicine</v>
      </c>
      <c r="D469" s="48" t="str">
        <f>'Examens accrédités et ajouts'!F482</f>
        <v>Sang</v>
      </c>
      <c r="E469" s="182" t="str">
        <f>'Examens accrédités et ajouts'!Q482</f>
        <v>BM PT01 _ A _ Technique immunoenzymatique CEDIA _ Quantitatif _ Automatisée _ 2 _ Cobas Pro</v>
      </c>
      <c r="F469" s="48" t="str">
        <f>'Examens accrédités et ajouts'!L482</f>
        <v>15047 v4</v>
      </c>
      <c r="G469" s="48" t="str">
        <f>'Examens accrédités et ajouts'!M482</f>
        <v>retirer de Flexi + le 15/09</v>
      </c>
    </row>
    <row r="470" spans="1:7" hidden="1" x14ac:dyDescent="0.2">
      <c r="A470" s="48" t="str">
        <f>'Examens accrédités et ajouts'!A483</f>
        <v>HOPITAL CHARLES NICOLLE CHU ROUEN</v>
      </c>
      <c r="B470" s="48" t="str">
        <f>'Examens accrédités et ajouts'!B483</f>
        <v>Pharmaco -Toxicologie</v>
      </c>
      <c r="C470" s="48" t="str">
        <f>'Examens accrédités et ajouts'!E483</f>
        <v>Carbamazépine</v>
      </c>
      <c r="D470" s="48" t="str">
        <f>'Examens accrédités et ajouts'!F483</f>
        <v>Sang</v>
      </c>
      <c r="E470" s="182" t="str">
        <f>'Examens accrédités et ajouts'!Q483</f>
        <v>BM PT01 _ A _ Technique immunoenzymatique CEDIA _ Quantitatif _ Automatisée _ 1 _ Cobas Pro</v>
      </c>
      <c r="F470" s="48" t="str">
        <f>'Examens accrédités et ajouts'!L483</f>
        <v>15068 v2</v>
      </c>
      <c r="G470" s="48" t="str">
        <f>'Examens accrédités et ajouts'!M483</f>
        <v>retirer de Flexi + le 15/09</v>
      </c>
    </row>
    <row r="471" spans="1:7" hidden="1" x14ac:dyDescent="0.2">
      <c r="A471" s="48" t="str">
        <f>'Examens accrédités et ajouts'!A484</f>
        <v>HOPITAL CHARLES NICOLLE CHU ROUEN</v>
      </c>
      <c r="B471" s="48" t="str">
        <f>'Examens accrédités et ajouts'!B484</f>
        <v>Pharmaco -Toxicologie</v>
      </c>
      <c r="C471" s="48" t="str">
        <f>'Examens accrédités et ajouts'!E484</f>
        <v>Acide valproïque</v>
      </c>
      <c r="D471" s="48" t="str">
        <f>'Examens accrédités et ajouts'!F484</f>
        <v>Sang</v>
      </c>
      <c r="E471" s="182" t="str">
        <f>'Examens accrédités et ajouts'!Q484</f>
        <v>BM PT01 _ A _ Technique immunoenzymatique en phase homogène _ Quantitatif _ Automatisée _ 2 _ Cobas Pro</v>
      </c>
      <c r="F471" s="48" t="str">
        <f>'Examens accrédités et ajouts'!L484</f>
        <v>15060 v3</v>
      </c>
      <c r="G471" s="48" t="str">
        <f>'Examens accrédités et ajouts'!M484</f>
        <v>retirer de Flexi + le 15/09</v>
      </c>
    </row>
    <row r="472" spans="1:7" hidden="1" x14ac:dyDescent="0.2">
      <c r="A472" s="48" t="str">
        <f>'Examens accrédités et ajouts'!A485</f>
        <v>HOPITAL CHARLES NICOLLE CHU ROUEN</v>
      </c>
      <c r="B472" s="48" t="str">
        <f>'Examens accrédités et ajouts'!B485</f>
        <v>Pharmaco -Toxicologie</v>
      </c>
      <c r="C472" s="48" t="str">
        <f>'Examens accrédités et ajouts'!E485</f>
        <v>Phénytoïne</v>
      </c>
      <c r="D472" s="48" t="str">
        <f>'Examens accrédités et ajouts'!F485</f>
        <v>Sang</v>
      </c>
      <c r="E472" s="182" t="str">
        <f>'Examens accrédités et ajouts'!Q485</f>
        <v>BM PT01 _ A _ Immunodosage en phase homogène (KIMS) _ Quantitatif _ Automatisée _ 1 _ Cobas Pro</v>
      </c>
      <c r="F472" s="48" t="str">
        <f>'Examens accrédités et ajouts'!L485</f>
        <v>15058 v2</v>
      </c>
      <c r="G472" s="48" t="str">
        <f>'Examens accrédités et ajouts'!M485</f>
        <v>retirer de Flexi + le 15/09</v>
      </c>
    </row>
    <row r="473" spans="1:7" hidden="1" x14ac:dyDescent="0.2">
      <c r="A473" s="48" t="str">
        <f>'Examens accrédités et ajouts'!A486</f>
        <v>HOPITAL CHARLES NICOLLE CHU ROUEN</v>
      </c>
      <c r="B473" s="48" t="str">
        <f>'Examens accrédités et ajouts'!B486</f>
        <v>Pharmaco -Toxicologie</v>
      </c>
      <c r="C473" s="48" t="str">
        <f>'Examens accrédités et ajouts'!E486</f>
        <v>Phénobarbital</v>
      </c>
      <c r="D473" s="48" t="str">
        <f>'Examens accrédités et ajouts'!F486</f>
        <v>Sang</v>
      </c>
      <c r="E473" s="182" t="str">
        <f>'Examens accrédités et ajouts'!Q486</f>
        <v>BM PT01 _ A _ Immunodosage en phase homogène (KIMS) _ Quantitatif _ Automatisée _ 1 _ Cobas Pro</v>
      </c>
      <c r="F473" s="48" t="str">
        <f>'Examens accrédités et ajouts'!L486</f>
        <v>15055 v2</v>
      </c>
      <c r="G473" s="48" t="str">
        <f>'Examens accrédités et ajouts'!M486</f>
        <v>retirer de Flexi + le 15/09</v>
      </c>
    </row>
    <row r="474" spans="1:7" hidden="1" x14ac:dyDescent="0.2">
      <c r="A474" s="48" t="str">
        <f>'Examens accrédités et ajouts'!A487</f>
        <v>HOPITAL CHARLES NICOLLE CHU ROUEN</v>
      </c>
      <c r="B474" s="48" t="str">
        <f>'Examens accrédités et ajouts'!B487</f>
        <v>Pharmaco -Toxicologie</v>
      </c>
      <c r="C474" s="48" t="str">
        <f>'Examens accrédités et ajouts'!E487</f>
        <v>Lithium</v>
      </c>
      <c r="D474" s="48" t="str">
        <f>'Examens accrédités et ajouts'!F487</f>
        <v>Sang</v>
      </c>
      <c r="E474" s="182" t="str">
        <f>'Examens accrédités et ajouts'!Q487</f>
        <v>BM PT01 _ A _ Technique colorimétrique automatisée  _ Quantitatif _ Automatisée _ 2 _ Cobas Pro</v>
      </c>
      <c r="F474" s="48" t="str">
        <f>'Examens accrédités et ajouts'!L487</f>
        <v>26088 v3</v>
      </c>
      <c r="G474" s="48">
        <f>'Examens accrédités et ajouts'!M487</f>
        <v>0</v>
      </c>
    </row>
    <row r="475" spans="1:7" hidden="1" x14ac:dyDescent="0.2">
      <c r="A475" s="48" t="str">
        <f>'Examens accrédités et ajouts'!A488</f>
        <v>HOPITAL CHARLES NICOLLE CHU ROUEN</v>
      </c>
      <c r="B475" s="48" t="str">
        <f>'Examens accrédités et ajouts'!B488</f>
        <v>Pharmaco -Toxicologie</v>
      </c>
      <c r="C475" s="48" t="str">
        <f>'Examens accrédités et ajouts'!E488</f>
        <v>Ethanol</v>
      </c>
      <c r="D475" s="48" t="str">
        <f>'Examens accrédités et ajouts'!F488</f>
        <v>Sang</v>
      </c>
      <c r="E475" s="182" t="str">
        <f>'Examens accrédités et ajouts'!Q488</f>
        <v>BM PT01 _ A _ Méthode enzymatique _ Quantitatif _ Automatisée _ 2 _ Cobas 8000</v>
      </c>
      <c r="F475" s="48" t="str">
        <f>'Examens accrédités et ajouts'!L488</f>
        <v>26090 v2</v>
      </c>
      <c r="G475" s="48" t="str">
        <f>'Examens accrédités et ajouts'!M488</f>
        <v>retirer de Flexi + le 15/09</v>
      </c>
    </row>
    <row r="476" spans="1:7" hidden="1" x14ac:dyDescent="0.2">
      <c r="A476" s="48" t="str">
        <f>'Examens accrédités et ajouts'!A489</f>
        <v>HOPITAL CHARLES NICOLLE CHU ROUEN</v>
      </c>
      <c r="B476" s="48" t="str">
        <f>'Examens accrédités et ajouts'!B489</f>
        <v>Pharmaco -Toxicologie</v>
      </c>
      <c r="C476" s="48" t="str">
        <f>'Examens accrédités et ajouts'!E489</f>
        <v>Digoxine</v>
      </c>
      <c r="D476" s="48" t="str">
        <f>'Examens accrédités et ajouts'!F489</f>
        <v>Sang</v>
      </c>
      <c r="E476" s="182" t="str">
        <f>'Examens accrédités et ajouts'!Q489</f>
        <v>BM PT01 _ A _ Immunodosage en phase homogène (KIMS)  _ Quantitatif _ Automatisée _ 2 _ Cobas Pro</v>
      </c>
      <c r="F476" s="48" t="str">
        <f>'Examens accrédités et ajouts'!L489</f>
        <v>26089 v3</v>
      </c>
      <c r="G476" s="48" t="str">
        <f>'Examens accrédités et ajouts'!M489</f>
        <v>retirer de Flexi + le 15/09</v>
      </c>
    </row>
    <row r="477" spans="1:7" hidden="1" x14ac:dyDescent="0.2">
      <c r="A477" s="48" t="str">
        <f>'Examens accrédités et ajouts'!A490</f>
        <v>HOPITAL CHARLES NICOLLE CHU ROUEN</v>
      </c>
      <c r="B477" s="48" t="str">
        <f>'Examens accrédités et ajouts'!B490</f>
        <v>Pharmaco -Toxicologie</v>
      </c>
      <c r="C477" s="48" t="str">
        <f>'Examens accrédités et ajouts'!E490</f>
        <v>Teicoplanine</v>
      </c>
      <c r="D477" s="48" t="str">
        <f>'Examens accrédités et ajouts'!F490</f>
        <v>Sang</v>
      </c>
      <c r="E477" s="182" t="str">
        <f>'Examens accrédités et ajouts'!Q490</f>
        <v>BM PT01 _ A _ Immunodosage en phase homogène _ Quantitatif _ Automatisée _ 1 _ Cobas Pro</v>
      </c>
      <c r="F477" s="48" t="str">
        <f>'Examens accrédités et ajouts'!L490</f>
        <v>26244 v2</v>
      </c>
      <c r="G477" s="48" t="str">
        <f>'Examens accrédités et ajouts'!M490</f>
        <v>retirer de Flexi + le 15/09</v>
      </c>
    </row>
    <row r="478" spans="1:7" hidden="1" x14ac:dyDescent="0.2">
      <c r="A478" s="48" t="str">
        <f>'Examens accrédités et ajouts'!A491</f>
        <v>HOPITAL CHARLES NICOLLE CHU ROUEN</v>
      </c>
      <c r="B478" s="48" t="str">
        <f>'Examens accrédités et ajouts'!B491</f>
        <v>Pharmaco -Toxicologie</v>
      </c>
      <c r="C478" s="48" t="str">
        <f>'Examens accrédités et ajouts'!E491</f>
        <v>Salicylés</v>
      </c>
      <c r="D478" s="48" t="str">
        <f>'Examens accrédités et ajouts'!F491</f>
        <v>Sang</v>
      </c>
      <c r="E478" s="182" t="str">
        <f>'Examens accrédités et ajouts'!Q491</f>
        <v>BM PT01 _ A _ Technique enzymatique  _ Quantitatif _ Automatisée _ 1 _ Cobas Pro</v>
      </c>
      <c r="F478" s="48" t="str">
        <f>'Examens accrédités et ajouts'!L491</f>
        <v>26378 v2</v>
      </c>
      <c r="G478" s="48" t="str">
        <f>'Examens accrédités et ajouts'!M491</f>
        <v>retirer de Flexi + le 15/09</v>
      </c>
    </row>
    <row r="479" spans="1:7" hidden="1" x14ac:dyDescent="0.2">
      <c r="A479" s="48" t="str">
        <f>'Examens accrédités et ajouts'!A492</f>
        <v>HOPITAL CHARLES NICOLLE CHU ROUEN</v>
      </c>
      <c r="B479" s="48" t="str">
        <f>'Examens accrédités et ajouts'!B492</f>
        <v>Pharmaco -Toxicologie</v>
      </c>
      <c r="C479" s="48" t="str">
        <f>'Examens accrédités et ajouts'!E492</f>
        <v>Paracétamol</v>
      </c>
      <c r="D479" s="48" t="str">
        <f>'Examens accrédités et ajouts'!F492</f>
        <v>Sang</v>
      </c>
      <c r="E479" s="182" t="str">
        <f>'Examens accrédités et ajouts'!Q492</f>
        <v>BM PT01 _ A _ Technique immunoenzymatique  _ Quantitatif _ Automatisée _ 2 _ Cobas Pro</v>
      </c>
      <c r="F479" s="48" t="str">
        <f>'Examens accrédités et ajouts'!L492</f>
        <v>26357 v2</v>
      </c>
      <c r="G479" s="48">
        <f>'Examens accrédités et ajouts'!M492</f>
        <v>0</v>
      </c>
    </row>
    <row r="480" spans="1:7" ht="26.25" hidden="1" customHeight="1" x14ac:dyDescent="0.2">
      <c r="A480" s="48" t="str">
        <f>'Examens accrédités et ajouts'!A493</f>
        <v>HOPITAL CHARLES NICOLLE CHU ROUEN</v>
      </c>
      <c r="B480" s="48" t="str">
        <f>'Examens accrédités et ajouts'!B493</f>
        <v>Pharmaco -Toxicologie</v>
      </c>
      <c r="C480" s="48" t="str">
        <f>'Examens accrédités et ajouts'!E493</f>
        <v>Méthotrexate</v>
      </c>
      <c r="D480" s="48" t="str">
        <f>'Examens accrédités et ajouts'!F493</f>
        <v>Sang</v>
      </c>
      <c r="E480" s="182" t="str">
        <f>'Examens accrédités et ajouts'!Q493</f>
        <v>BM PT01 _ A _ Méthode immunoenzymatique EMIT  _ Quantitatif _ Automatisée _ 1 _ Cobas Pro</v>
      </c>
      <c r="F480" s="48" t="str">
        <f>'Examens accrédités et ajouts'!L493</f>
        <v>26242 v3</v>
      </c>
      <c r="G480" s="48" t="str">
        <f>'Examens accrédités et ajouts'!M493</f>
        <v>retirer de Flexi + le 15/09</v>
      </c>
    </row>
    <row r="481" spans="1:7" ht="18" hidden="1" customHeight="1" x14ac:dyDescent="0.2">
      <c r="A481" s="48" t="str">
        <f>'Examens accrédités et ajouts'!A494</f>
        <v>HOPITAL CHARLES NICOLLE CHU ROUEN</v>
      </c>
      <c r="B481" s="48" t="str">
        <f>'Examens accrédités et ajouts'!B494</f>
        <v>Pharmaco -Toxicologie</v>
      </c>
      <c r="C481" s="48" t="str">
        <f>'Examens accrédités et ajouts'!E494</f>
        <v>Opiacés urinaires</v>
      </c>
      <c r="D481" s="48" t="str">
        <f>'Examens accrédités et ajouts'!F494</f>
        <v>Urine</v>
      </c>
      <c r="E481" s="182" t="str">
        <f>'Examens accrédités et ajouts'!Q494</f>
        <v>BM PT01 _ A _ Immunodosage par technique KIMS _ Qualitatif _ Automatisée _ 1 _ Cobas 8000</v>
      </c>
      <c r="F481" s="48" t="str">
        <f>'Examens accrédités et ajouts'!L494</f>
        <v>26243 v2</v>
      </c>
      <c r="G481" s="48" t="str">
        <f>'Examens accrédités et ajouts'!M494</f>
        <v>retirer de Flexi + le 15/09</v>
      </c>
    </row>
    <row r="482" spans="1:7" ht="19.5" hidden="1" customHeight="1" x14ac:dyDescent="0.2">
      <c r="A482" s="48" t="str">
        <f>'Examens accrédités et ajouts'!A495</f>
        <v>HOPITAL CHARLES NICOLLE CHU ROUEN</v>
      </c>
      <c r="B482" s="48" t="str">
        <f>'Examens accrédités et ajouts'!B495</f>
        <v>Pharmaco -Toxicologie</v>
      </c>
      <c r="C482" s="48" t="str">
        <f>'Examens accrédités et ajouts'!E495</f>
        <v>Méthadone urinaire</v>
      </c>
      <c r="D482" s="48" t="str">
        <f>'Examens accrédités et ajouts'!F495</f>
        <v>Urine</v>
      </c>
      <c r="E482" s="182" t="str">
        <f>'Examens accrédités et ajouts'!Q495</f>
        <v>BM PT01 _ A _ Immunodosage par technique KIMS _ Qualitatif _ Automatisée _ 1 _ Cobas 8000</v>
      </c>
      <c r="F482" s="48" t="str">
        <f>'Examens accrédités et ajouts'!L495</f>
        <v>26241 v1</v>
      </c>
      <c r="G482" s="48" t="str">
        <f>'Examens accrédités et ajouts'!M495</f>
        <v>retirer de Flexi + le 15/09</v>
      </c>
    </row>
    <row r="483" spans="1:7" hidden="1" x14ac:dyDescent="0.2">
      <c r="A483" s="48" t="str">
        <f>'Examens accrédités et ajouts'!A496</f>
        <v>HOPITAL CHARLES NICOLLE CHU ROUEN</v>
      </c>
      <c r="B483" s="48" t="str">
        <f>'Examens accrédités et ajouts'!B496</f>
        <v>Pharmaco -Toxicologie</v>
      </c>
      <c r="C483" s="48" t="str">
        <f>'Examens accrédités et ajouts'!E496</f>
        <v>Cocaïne urinaire</v>
      </c>
      <c r="D483" s="48" t="str">
        <f>'Examens accrédités et ajouts'!F496</f>
        <v>Urine</v>
      </c>
      <c r="E483" s="182" t="str">
        <f>'Examens accrédités et ajouts'!Q496</f>
        <v>BM PT01 _ A _ Immunodosage par technique KIMS _ Qualitatif _ Automatisée _ 1 _ Cobas Pro</v>
      </c>
      <c r="F483" s="48" t="str">
        <f>'Examens accrédités et ajouts'!L496</f>
        <v>26240 v2</v>
      </c>
      <c r="G483" s="48" t="str">
        <f>'Examens accrédités et ajouts'!M496</f>
        <v>retirer de Flexi + le 15/09</v>
      </c>
    </row>
    <row r="484" spans="1:7" hidden="1" x14ac:dyDescent="0.2">
      <c r="A484" s="48" t="str">
        <f>'Examens accrédités et ajouts'!A497</f>
        <v>HOPITAL CHARLES NICOLLE CHU ROUEN</v>
      </c>
      <c r="B484" s="48" t="str">
        <f>'Examens accrédités et ajouts'!B497</f>
        <v>Pharmaco -Toxicologie</v>
      </c>
      <c r="C484" s="48" t="str">
        <f>'Examens accrédités et ajouts'!E497</f>
        <v>Ciclosporine</v>
      </c>
      <c r="D484" s="48" t="str">
        <f>'Examens accrédités et ajouts'!F497</f>
        <v>Sang</v>
      </c>
      <c r="E484" s="182" t="str">
        <f>'Examens accrédités et ajouts'!Q497</f>
        <v>BM PT01 _ A _ Méthode immunoenzymatique CEDIA   _ Quantitatif _ Semi-automatisée _ 1 _ Cobas Pro</v>
      </c>
      <c r="F484" s="48" t="str">
        <f>'Examens accrédités et ajouts'!L497</f>
        <v>26239 v2</v>
      </c>
      <c r="G484" s="48" t="str">
        <f>'Examens accrédités et ajouts'!M497</f>
        <v>retirer de Flexi + le 15/09</v>
      </c>
    </row>
    <row r="485" spans="1:7" hidden="1" x14ac:dyDescent="0.2">
      <c r="A485" s="48" t="str">
        <f>'Examens accrédités et ajouts'!A498</f>
        <v>HOPITAL CHARLES NICOLLE CHU ROUEN</v>
      </c>
      <c r="B485" s="48" t="str">
        <f>'Examens accrédités et ajouts'!B498</f>
        <v>Pharmaco -Toxicologie</v>
      </c>
      <c r="C485" s="48" t="str">
        <f>'Examens accrédités et ajouts'!E498</f>
        <v>Cannabis urinaire</v>
      </c>
      <c r="D485" s="48" t="str">
        <f>'Examens accrédités et ajouts'!F498</f>
        <v>Urine</v>
      </c>
      <c r="E485" s="182" t="str">
        <f>'Examens accrédités et ajouts'!Q498</f>
        <v>BM PT01 _ A _ Immunodosage par technique KIMS _ Qualitatif _ Automatisée _ 1 _ Cobas 8000</v>
      </c>
      <c r="F485" s="48" t="str">
        <f>'Examens accrédités et ajouts'!L498</f>
        <v>26238 v1</v>
      </c>
      <c r="G485" s="48" t="str">
        <f>'Examens accrédités et ajouts'!M498</f>
        <v>retirer de Flexi + le 15/09</v>
      </c>
    </row>
    <row r="486" spans="1:7" hidden="1" x14ac:dyDescent="0.2">
      <c r="A486" s="48" t="str">
        <f>'Examens accrédités et ajouts'!A499</f>
        <v>HOPITAL CHARLES NICOLLE CHU ROUEN</v>
      </c>
      <c r="B486" s="48" t="str">
        <f>'Examens accrédités et ajouts'!B499</f>
        <v>Pharmaco -Toxicologie</v>
      </c>
      <c r="C486" s="48" t="str">
        <f>'Examens accrédités et ajouts'!E499</f>
        <v>Amphétamines urinaires</v>
      </c>
      <c r="D486" s="48" t="str">
        <f>'Examens accrédités et ajouts'!F499</f>
        <v>Urine</v>
      </c>
      <c r="E486" s="182" t="str">
        <f>'Examens accrédités et ajouts'!Q499</f>
        <v>BM PT01 _ A _ Immunodosage par technique KIMS _ Qualitatif _ Automatisée _ 1 _ Cobas Pro</v>
      </c>
      <c r="F486" s="48" t="str">
        <f>'Examens accrédités et ajouts'!L499</f>
        <v>26237 v2</v>
      </c>
      <c r="G486" s="48" t="str">
        <f>'Examens accrédités et ajouts'!M499</f>
        <v>retirer de Flexi + le 15/09</v>
      </c>
    </row>
    <row r="487" spans="1:7" hidden="1" x14ac:dyDescent="0.2">
      <c r="A487" s="48" t="str">
        <f>'Examens accrédités et ajouts'!A500</f>
        <v>HOPITAL CHARLES NICOLLE CHU ROUEN</v>
      </c>
      <c r="B487" s="48" t="str">
        <f>'Examens accrédités et ajouts'!B500</f>
        <v>Pharmaco -Toxicologie</v>
      </c>
      <c r="C487" s="48" t="str">
        <f>'Examens accrédités et ajouts'!E500</f>
        <v>Antidépresseurs tricycliques</v>
      </c>
      <c r="D487" s="48" t="str">
        <f>'Examens accrédités et ajouts'!F500</f>
        <v>sang</v>
      </c>
      <c r="E487" s="182" t="str">
        <f>'Examens accrédités et ajouts'!Q500</f>
        <v>BM PT01 _ A _ Immunoenzymatique _ Qualitatif _ Automatisée _ 1 _ Cobas 8000</v>
      </c>
      <c r="F487" s="48" t="str">
        <f>'Examens accrédités et ajouts'!L500</f>
        <v>32306 v1</v>
      </c>
      <c r="G487" s="48" t="str">
        <f>'Examens accrédités et ajouts'!M500</f>
        <v>retirer de Flexi + le 15/09</v>
      </c>
    </row>
    <row r="488" spans="1:7" hidden="1" x14ac:dyDescent="0.2">
      <c r="A488" s="48" t="str">
        <f>'Examens accrédités et ajouts'!A501</f>
        <v>HOPITAL CHARLES NICOLLE CHU ROUEN</v>
      </c>
      <c r="B488" s="48" t="str">
        <f>'Examens accrédités et ajouts'!B501</f>
        <v>Pharmaco -Toxicologie</v>
      </c>
      <c r="C488" s="48" t="str">
        <f>'Examens accrédités et ajouts'!E501</f>
        <v>Benzodiazépines</v>
      </c>
      <c r="D488" s="48" t="str">
        <f>'Examens accrédités et ajouts'!F501</f>
        <v>sang et urines</v>
      </c>
      <c r="E488" s="182" t="str">
        <f>'Examens accrédités et ajouts'!Q501</f>
        <v>BM PT01 _ A _ Technique enzymatique  _ Qualitatif _ Automatisée _ 1 _ Cobas 8000</v>
      </c>
      <c r="F488" s="48" t="str">
        <f>'Examens accrédités et ajouts'!L501</f>
        <v>32187 v1</v>
      </c>
      <c r="G488" s="48" t="str">
        <f>'Examens accrédités et ajouts'!M501</f>
        <v>retirer de Flexi + le 15/09</v>
      </c>
    </row>
    <row r="489" spans="1:7" hidden="1" x14ac:dyDescent="0.2">
      <c r="A489" s="48" t="str">
        <f>'Examens accrédités et ajouts'!A502</f>
        <v>HOPITAL CHARLES NICOLLE CHU ROUEN</v>
      </c>
      <c r="B489" s="48" t="str">
        <f>'Examens accrédités et ajouts'!B502</f>
        <v>Pharmaco -Toxicologie</v>
      </c>
      <c r="C489" s="48" t="str">
        <f>'Examens accrédités et ajouts'!E502</f>
        <v>Sirolimus</v>
      </c>
      <c r="D489" s="48" t="str">
        <f>'Examens accrédités et ajouts'!F502</f>
        <v>Sang</v>
      </c>
      <c r="E489" s="182" t="str">
        <f>'Examens accrédités et ajouts'!Q502</f>
        <v>BM PT03 _ B _ Déprotéinisation et Chromatographie liquide haute performance (CHLP) avec détection par spectrométrie de masse en tandem
 _ Quantitatif _ Manuelle _ 2 _ HPLC/MS-MS</v>
      </c>
      <c r="F489" s="48" t="str">
        <f>'Examens accrédités et ajouts'!L502</f>
        <v>15022 v1</v>
      </c>
      <c r="G489" s="48">
        <f>'Examens accrédités et ajouts'!M502</f>
        <v>0</v>
      </c>
    </row>
    <row r="490" spans="1:7" hidden="1" x14ac:dyDescent="0.2">
      <c r="A490" s="48" t="str">
        <f>'Examens accrédités et ajouts'!A503</f>
        <v>HOPITAL CHARLES NICOLLE CHU ROUEN</v>
      </c>
      <c r="B490" s="48" t="str">
        <f>'Examens accrédités et ajouts'!B503</f>
        <v>Pharmaco -Toxicologie</v>
      </c>
      <c r="C490" s="48" t="str">
        <f>'Examens accrédités et ajouts'!E503</f>
        <v>Everolimus</v>
      </c>
      <c r="D490" s="48" t="str">
        <f>'Examens accrédités et ajouts'!F503</f>
        <v>Sang</v>
      </c>
      <c r="E490" s="182" t="str">
        <f>'Examens accrédités et ajouts'!Q503</f>
        <v>BM PT03 _ B _ Déprotéinisation et Chromatographie liquide haute performance (CHLP) avec détection par spectrométrie de masse en tandem
 _ Quantitatif _ Manuelle _ 2 _ HPLC/MS-MS</v>
      </c>
      <c r="F490" s="48" t="str">
        <f>'Examens accrédités et ajouts'!L503</f>
        <v>15023 v1</v>
      </c>
      <c r="G490" s="48">
        <f>'Examens accrédités et ajouts'!M503</f>
        <v>0</v>
      </c>
    </row>
    <row r="491" spans="1:7" hidden="1" x14ac:dyDescent="0.2">
      <c r="A491" s="48" t="str">
        <f>'Examens accrédités et ajouts'!A504</f>
        <v>HOPITAL CHARLES NICOLLE CHU ROUEN</v>
      </c>
      <c r="B491" s="48" t="str">
        <f>'Examens accrédités et ajouts'!B504</f>
        <v>Pharmaco -Toxicologie</v>
      </c>
      <c r="C491" s="48" t="str">
        <f>'Examens accrédités et ajouts'!E504</f>
        <v>Mycophénolate</v>
      </c>
      <c r="D491" s="48" t="str">
        <f>'Examens accrédités et ajouts'!F504</f>
        <v>Sang</v>
      </c>
      <c r="E491" s="182" t="str">
        <f>'Examens accrédités et ajouts'!Q504</f>
        <v>BM PT03 _ B _ Déprotéinisation et Chromatographie liquide haute performance (CHLP) avec détection par spectrométrie de masse en tandem
 _ Quantitatif _ Manuelle _ 1 _ HPLC/MS-MS</v>
      </c>
      <c r="F491" s="48" t="str">
        <f>'Examens accrédités et ajouts'!L504</f>
        <v>12286 v2</v>
      </c>
      <c r="G491" s="48">
        <f>'Examens accrédités et ajouts'!M504</f>
        <v>0</v>
      </c>
    </row>
    <row r="492" spans="1:7" hidden="1" x14ac:dyDescent="0.2">
      <c r="A492" s="48" t="str">
        <f>'Examens accrédités et ajouts'!A505</f>
        <v>HOPITAL CHARLES NICOLLE CHU ROUEN</v>
      </c>
      <c r="B492" s="48" t="str">
        <f>'Examens accrédités et ajouts'!B505</f>
        <v>Pharmaco -Toxicologie</v>
      </c>
      <c r="C492" s="48" t="str">
        <f>'Examens accrédités et ajouts'!E505</f>
        <v>Tacrolimus</v>
      </c>
      <c r="D492" s="48" t="str">
        <f>'Examens accrédités et ajouts'!F505</f>
        <v>Sang</v>
      </c>
      <c r="E492" s="182" t="str">
        <f>'Examens accrédités et ajouts'!Q505</f>
        <v>BM PT03 _ B _ Déprotéinisation et Chromatographie liquide haute performance (CHLP) avec détection par spectrométrie de masse en tandem
 _ Quantitatif _ Manuelle _ 2 _ HPLC/MS-MS</v>
      </c>
      <c r="F492" s="48" t="str">
        <f>'Examens accrédités et ajouts'!L505</f>
        <v>15021 v1</v>
      </c>
      <c r="G492" s="48">
        <f>'Examens accrédités et ajouts'!M505</f>
        <v>0</v>
      </c>
    </row>
    <row r="493" spans="1:7" hidden="1" x14ac:dyDescent="0.2">
      <c r="A493" s="48" t="str">
        <f>'Examens accrédités et ajouts'!A506</f>
        <v>HOPITAL CHARLES NICOLLE CHU ROUEN</v>
      </c>
      <c r="B493" s="48" t="str">
        <f>'Examens accrédités et ajouts'!B506</f>
        <v>Pharmaco -Toxicologie</v>
      </c>
      <c r="C493" s="48" t="str">
        <f>'Examens accrédités et ajouts'!E506</f>
        <v xml:space="preserve">Rifampicine </v>
      </c>
      <c r="D493" s="48" t="str">
        <f>'Examens accrédités et ajouts'!F506</f>
        <v>Sang</v>
      </c>
      <c r="E493" s="182" t="str">
        <f>'Examens accrédités et ajouts'!Q506</f>
        <v>BM PT03 _ B _ Déproptéinisation et chromatographie liquide haute performance (CHLP) avec détection par spectrométrie de masse en tandem  _ Quantitatif _ Manuelle _ 1 _ HPLC/MS-MS</v>
      </c>
      <c r="F493" s="48" t="str">
        <f>'Examens accrédités et ajouts'!L506</f>
        <v>15019 v2</v>
      </c>
      <c r="G493" s="48">
        <f>'Examens accrédités et ajouts'!M506</f>
        <v>0</v>
      </c>
    </row>
    <row r="494" spans="1:7" hidden="1" x14ac:dyDescent="0.2">
      <c r="A494" s="48" t="str">
        <f>'Examens accrédités et ajouts'!A507</f>
        <v>HOPITAL CHARLES NICOLLE CHU ROUEN</v>
      </c>
      <c r="B494" s="48" t="str">
        <f>'Examens accrédités et ajouts'!B507</f>
        <v>Pharmaco -Toxicologie</v>
      </c>
      <c r="C494" s="48" t="str">
        <f>'Examens accrédités et ajouts'!E507</f>
        <v>Amoxicilline</v>
      </c>
      <c r="D494" s="48" t="str">
        <f>'Examens accrédités et ajouts'!F507</f>
        <v>Sang</v>
      </c>
      <c r="E494" s="182" t="str">
        <f>'Examens accrédités et ajouts'!Q507</f>
        <v>BM PT03 _ B _ Analyse par chromatographie liquide couplée à la spectrométrie de masse en tandem (HPLC-MS/MS) _ Quantitatif _ Automatisée _ 1 _ Système HPLC Shimadzu® couplé à un spectromètre de masse en tandem 4500 Qtrap (ABSciex®).</v>
      </c>
      <c r="F494" s="48" t="str">
        <f>'Examens accrédités et ajouts'!L507</f>
        <v>28145 v1</v>
      </c>
      <c r="G494" s="48">
        <f>'Examens accrédités et ajouts'!M507</f>
        <v>0</v>
      </c>
    </row>
    <row r="495" spans="1:7" hidden="1" x14ac:dyDescent="0.2">
      <c r="A495" s="48" t="str">
        <f>'Examens accrédités et ajouts'!A508</f>
        <v>HOPITAL CHARLES NICOLLE CHU ROUEN</v>
      </c>
      <c r="B495" s="48" t="str">
        <f>'Examens accrédités et ajouts'!B508</f>
        <v>Pharmaco -Toxicologie</v>
      </c>
      <c r="C495" s="48" t="str">
        <f>'Examens accrédités et ajouts'!E508</f>
        <v>Clozapine</v>
      </c>
      <c r="D495" s="48" t="str">
        <f>'Examens accrédités et ajouts'!F508</f>
        <v>Sang</v>
      </c>
      <c r="E495" s="182" t="str">
        <f>'Examens accrédités et ajouts'!Q508</f>
        <v>BM PT03 _ B _ Méthode quantitative, déprotéinisation et séparation par chromatographique liquide haute performance (CLHP) avec détection par  spectrométrie de masse en tandem _ Quantitatif _ Automatisée _ 2 _ Système HPLC Shimadzu® couplé à un spectromètre de masse en tandem 4000 Qtrap (ABSciex®)</v>
      </c>
      <c r="F495" s="48" t="str">
        <f>'Examens accrédités et ajouts'!L508</f>
        <v>29764 v1</v>
      </c>
      <c r="G495" s="48">
        <f>'Examens accrédités et ajouts'!M508</f>
        <v>0</v>
      </c>
    </row>
    <row r="496" spans="1:7" hidden="1" x14ac:dyDescent="0.2">
      <c r="A496" s="48" t="str">
        <f>'Examens accrédités et ajouts'!A509</f>
        <v>HOPITAL CHARLES NICOLLE CHU ROUEN</v>
      </c>
      <c r="B496" s="48" t="str">
        <f>'Examens accrédités et ajouts'!B509</f>
        <v>Pharmaco -Toxicologie</v>
      </c>
      <c r="C496" s="48" t="str">
        <f>'Examens accrédités et ajouts'!E509</f>
        <v>Clozapine</v>
      </c>
      <c r="D496" s="48" t="str">
        <f>'Examens accrédités et ajouts'!F509</f>
        <v>Sang</v>
      </c>
      <c r="E496" s="182" t="str">
        <f>'Examens accrédités et ajouts'!Q509</f>
        <v>BM PT03 _ B _ Méthode quantitative, déprotéinisation et séparation par chromatographique liquide haute performance (CLHP) avec détection par  spectrométrie de masse en tandem _ Quantitatif _ Automatisée _ 2 _ Système HPLC Shimadzu® couplé à un spectromètre de masse ABSciex® 4000 QTRAP</v>
      </c>
      <c r="F496" s="48" t="str">
        <f>'Examens accrédités et ajouts'!L509</f>
        <v>29765 v1</v>
      </c>
      <c r="G496" s="48">
        <f>'Examens accrédités et ajouts'!M509</f>
        <v>0</v>
      </c>
    </row>
    <row r="497" spans="1:7" hidden="1" x14ac:dyDescent="0.2">
      <c r="A497" s="48" t="str">
        <f>'Examens accrédités et ajouts'!A510</f>
        <v>HOPITAL CHARLES NICOLLE CHU ROUEN</v>
      </c>
      <c r="B497" s="48" t="str">
        <f>'Examens accrédités et ajouts'!B510</f>
        <v>Pharmaco -Toxicologie</v>
      </c>
      <c r="C497" s="48" t="str">
        <f>'Examens accrédités et ajouts'!E510</f>
        <v>Isoniazide</v>
      </c>
      <c r="D497" s="48" t="str">
        <f>'Examens accrédités et ajouts'!F510</f>
        <v>Sang</v>
      </c>
      <c r="E497" s="182" t="str">
        <f>'Examens accrédités et ajouts'!Q510</f>
        <v>BM PT03 _ B _ Chromatographie liquide haute performance (CLHP) avec détection par spectrophotométrie _ Quantitatif _ Automatisée _ 1 _ Système chromatographique Waters Acquity UPLC I-class PDA.</v>
      </c>
      <c r="F497" s="48" t="str">
        <f>'Examens accrédités et ajouts'!L510</f>
        <v>30085 v1</v>
      </c>
      <c r="G497" s="48">
        <f>'Examens accrédités et ajouts'!M510</f>
        <v>0</v>
      </c>
    </row>
    <row r="498" spans="1:7" hidden="1" x14ac:dyDescent="0.2">
      <c r="A498" s="48" t="str">
        <f>'Examens accrédités et ajouts'!A511</f>
        <v>HOPITAL CHARLES NICOLLE CHU ROUEN</v>
      </c>
      <c r="B498" s="48" t="str">
        <f>'Examens accrédités et ajouts'!B511</f>
        <v>Pharmaco -Toxicologie</v>
      </c>
      <c r="C498" s="48" t="str">
        <f>'Examens accrédités et ajouts'!E511</f>
        <v>Pipéracilline</v>
      </c>
      <c r="D498" s="48" t="str">
        <f>'Examens accrédités et ajouts'!F511</f>
        <v>Sang</v>
      </c>
      <c r="E498" s="182" t="str">
        <f>'Examens accrédités et ajouts'!Q511</f>
        <v>BM PT03 _ B _ chromatographie liquide couplée à la spectrométrie de masse en tandem (HPLC-MS/MS) _ Quantitatif _ Automatisée _ 1 _ Système HPLC Shimadzu® couplé à un spectromètre de masse en tandem 4500 Qtrap (ABSciex®).</v>
      </c>
      <c r="F498" s="48" t="str">
        <f>'Examens accrédités et ajouts'!L511</f>
        <v>31847 v1</v>
      </c>
      <c r="G498" s="48">
        <f>'Examens accrédités et ajouts'!M511</f>
        <v>0</v>
      </c>
    </row>
    <row r="499" spans="1:7" hidden="1" x14ac:dyDescent="0.2">
      <c r="A499" s="48" t="str">
        <f>'Examens accrédités et ajouts'!A512</f>
        <v>HOPITAL CHARLES NICOLLE CHU ROUEN</v>
      </c>
      <c r="B499" s="48" t="str">
        <f>'Examens accrédités et ajouts'!B512</f>
        <v>Pharmaco -Toxicologie</v>
      </c>
      <c r="C499" s="48" t="str">
        <f>'Examens accrédités et ajouts'!E512</f>
        <v>Céfépime</v>
      </c>
      <c r="D499" s="48" t="str">
        <f>'Examens accrédités et ajouts'!F512</f>
        <v>Sang</v>
      </c>
      <c r="E499" s="182" t="str">
        <f>'Examens accrédités et ajouts'!Q512</f>
        <v>BM PT03 _ B _ chromatographie liquide couplée à la spectrométrie de masse en tandem (HPLC-MS/MS) _ Quantitatif _ Automatisée _ 1 _ Système HPLC Shimadzu® couplé à un spectromètre de masse en tandem 4500 Qtrap (ABSciex®).</v>
      </c>
      <c r="F499" s="48" t="str">
        <f>'Examens accrédités et ajouts'!L512</f>
        <v>31848 v1</v>
      </c>
      <c r="G499" s="48">
        <f>'Examens accrédités et ajouts'!M512</f>
        <v>0</v>
      </c>
    </row>
    <row r="500" spans="1:7" hidden="1" x14ac:dyDescent="0.2">
      <c r="A500" s="48" t="str">
        <f>'Examens accrédités et ajouts'!A513</f>
        <v>HOPITAL CHARLES NICOLLE CHU ROUEN</v>
      </c>
      <c r="B500" s="48" t="str">
        <f>'Examens accrédités et ajouts'!B513</f>
        <v>Pharmaco -Toxicologie</v>
      </c>
      <c r="C500" s="48" t="str">
        <f>'Examens accrédités et ajouts'!E513</f>
        <v>Céfotaxime</v>
      </c>
      <c r="D500" s="48" t="str">
        <f>'Examens accrédités et ajouts'!F513</f>
        <v>Sang</v>
      </c>
      <c r="E500" s="182" t="str">
        <f>'Examens accrédités et ajouts'!Q513</f>
        <v>BM PT03 _ B _ chromatographie liquide couplée à la spectrométrie de masse en tandem (HPLC-MS/MS) _ Quantitatif _ Automatisée _ 1 _ Système HPLC Shimadzu® couplé à un spectromètre de masse en tandem 4500 Qtrap (ABSciex®).</v>
      </c>
      <c r="F500" s="48" t="str">
        <f>'Examens accrédités et ajouts'!L513</f>
        <v>31849 v1</v>
      </c>
      <c r="G500" s="48">
        <f>'Examens accrédités et ajouts'!M513</f>
        <v>0</v>
      </c>
    </row>
    <row r="501" spans="1:7" hidden="1" x14ac:dyDescent="0.2">
      <c r="A501" s="48" t="str">
        <f>'Examens accrédités et ajouts'!A514</f>
        <v>HOPITAL CHARLES NICOLLE CHU ROUEN</v>
      </c>
      <c r="B501" s="48" t="str">
        <f>'Examens accrédités et ajouts'!B514</f>
        <v>Pharmaco -Toxicologie</v>
      </c>
      <c r="C501" s="48" t="str">
        <f>'Examens accrédités et ajouts'!E514</f>
        <v>Ceftazidime</v>
      </c>
      <c r="D501" s="48" t="str">
        <f>'Examens accrédités et ajouts'!F514</f>
        <v>Sang</v>
      </c>
      <c r="E501" s="182" t="str">
        <f>'Examens accrédités et ajouts'!Q514</f>
        <v>BM PT03 _ B _ chromatographie liquide couplée à la spectrométrie de masse en tandem (HPLC-MS/MS) _ Quantitatif _ Automatisée _ 1 _ Système HPLC Shimadzu® couplé à un spectromètre de masse en tandem 4500 Qtrap (ABSciex®).</v>
      </c>
      <c r="F501" s="48" t="str">
        <f>'Examens accrédités et ajouts'!L514</f>
        <v>32735 v1</v>
      </c>
      <c r="G501" s="48">
        <f>'Examens accrédités et ajouts'!M514</f>
        <v>0</v>
      </c>
    </row>
    <row r="502" spans="1:7" hidden="1" x14ac:dyDescent="0.2">
      <c r="A502" s="48" t="str">
        <f>'Examens accrédités et ajouts'!A515</f>
        <v>HOPITAL CHARLES NICOLLE CHU ROUEN</v>
      </c>
      <c r="B502" s="48" t="str">
        <f>'Examens accrédités et ajouts'!B515</f>
        <v>Pharmaco -Toxicologie</v>
      </c>
      <c r="C502" s="48" t="str">
        <f>'Examens accrédités et ajouts'!E515</f>
        <v>Ceftriaxone</v>
      </c>
      <c r="D502" s="48" t="str">
        <f>'Examens accrédités et ajouts'!F515</f>
        <v>Sang</v>
      </c>
      <c r="E502" s="182" t="str">
        <f>'Examens accrédités et ajouts'!Q515</f>
        <v>BM PT03 _ B _ chromatographie liquide couplée à la spectrométrie de masse en tandem (HPLC-MS/MS) _ Quantitatif _ Automatisée _ 1 _ Système HPLC Shimadzu® couplé à un spectromètre de masse en tandem 4500 Qtrap (ABSciex®).</v>
      </c>
      <c r="F502" s="48" t="str">
        <f>'Examens accrédités et ajouts'!L515</f>
        <v>35450 v1</v>
      </c>
      <c r="G502" s="48">
        <f>'Examens accrédités et ajouts'!M515</f>
        <v>0</v>
      </c>
    </row>
    <row r="503" spans="1:7" hidden="1" x14ac:dyDescent="0.2">
      <c r="A503" s="48" t="str">
        <f>'Examens accrédités et ajouts'!A516</f>
        <v>HOPITAL CHARLES NICOLLE CHU ROUEN</v>
      </c>
      <c r="B503" s="48" t="str">
        <f>'Examens accrédités et ajouts'!B516</f>
        <v>Pharmaco -Toxicologie</v>
      </c>
      <c r="C503" s="48" t="str">
        <f>'Examens accrédités et ajouts'!E516</f>
        <v>Cloxacilline</v>
      </c>
      <c r="D503" s="48" t="str">
        <f>'Examens accrédités et ajouts'!F516</f>
        <v>Sang</v>
      </c>
      <c r="E503" s="182" t="str">
        <f>'Examens accrédités et ajouts'!Q516</f>
        <v>BM PT03 _ B _ chromatographie liquide couplée à la spectrométrie de masse en tandem (HPLC-MS/MS) _ Quantitatif _ Automatisée _ 1 _ Système HPLC Shimadzu® couplé à un spectromètre de masse en tandem 4500 Qtrap (ABSciex®).</v>
      </c>
      <c r="F503" s="48" t="str">
        <f>'Examens accrédités et ajouts'!L516</f>
        <v>32714 v1</v>
      </c>
      <c r="G503" s="48">
        <f>'Examens accrédités et ajouts'!M516</f>
        <v>0</v>
      </c>
    </row>
    <row r="504" spans="1:7" hidden="1" x14ac:dyDescent="0.2">
      <c r="A504" s="48" t="str">
        <f>'Examens accrédités et ajouts'!A517</f>
        <v>HOPITAL CHARLES NICOLLE CHU ROUEN</v>
      </c>
      <c r="B504" s="48" t="str">
        <f>'Examens accrédités et ajouts'!B517</f>
        <v>Pharmaco -Toxicologie</v>
      </c>
      <c r="C504" s="48" t="str">
        <f>'Examens accrédités et ajouts'!E517</f>
        <v>Ertapénem</v>
      </c>
      <c r="D504" s="48" t="str">
        <f>'Examens accrédités et ajouts'!F517</f>
        <v>Sang</v>
      </c>
      <c r="E504" s="182" t="str">
        <f>'Examens accrédités et ajouts'!Q517</f>
        <v>BM PT03 _ B _ chromatographie liquide couplée à la spectrométrie de masse en tandem (HPLC-MS/MS) _ Quantitatif _ Automatisée _ 1 _ Système HPLC Shimadzu® couplé à un spectromètre de masse en tandem 4500 Qtrap (ABSciex®).</v>
      </c>
      <c r="F504" s="48" t="str">
        <f>'Examens accrédités et ajouts'!L517</f>
        <v>32715 v1</v>
      </c>
      <c r="G504" s="48">
        <f>'Examens accrédités et ajouts'!M517</f>
        <v>0</v>
      </c>
    </row>
    <row r="505" spans="1:7" hidden="1" x14ac:dyDescent="0.2">
      <c r="A505" s="48" t="str">
        <f>'Examens accrédités et ajouts'!A518</f>
        <v>HOPITAL CHARLES NICOLLE CHU ROUEN</v>
      </c>
      <c r="B505" s="48" t="str">
        <f>'Examens accrédités et ajouts'!B518</f>
        <v>Pharmaco -Toxicologie</v>
      </c>
      <c r="C505" s="48" t="str">
        <f>'Examens accrédités et ajouts'!E518</f>
        <v>Lévofloxacine</v>
      </c>
      <c r="D505" s="48" t="str">
        <f>'Examens accrédités et ajouts'!F518</f>
        <v>Sang</v>
      </c>
      <c r="E505" s="182" t="str">
        <f>'Examens accrédités et ajouts'!Q518</f>
        <v>BM PT03 _ B _ chromatographie liquide couplée à la spectrométrie de masse en tandem (HPLC-MS/MS) _ Quantitatif _ Automatisée _ 1 _ Système HPLC Shimadzu® couplé à un spectromètre de masse en tandem 4500 Qtrap (ABSciex®).</v>
      </c>
      <c r="F505" s="48" t="str">
        <f>'Examens accrédités et ajouts'!L518</f>
        <v>32716 v1</v>
      </c>
      <c r="G505" s="48">
        <f>'Examens accrédités et ajouts'!M518</f>
        <v>0</v>
      </c>
    </row>
    <row r="506" spans="1:7" hidden="1" x14ac:dyDescent="0.2">
      <c r="A506" s="48" t="str">
        <f>'Examens accrédités et ajouts'!A519</f>
        <v>HOPITAL CHARLES NICOLLE CHU ROUEN</v>
      </c>
      <c r="B506" s="48" t="str">
        <f>'Examens accrédités et ajouts'!B519</f>
        <v>Pharmaco -Toxicologie</v>
      </c>
      <c r="C506" s="48" t="str">
        <f>'Examens accrédités et ajouts'!E519</f>
        <v>Voriconazole</v>
      </c>
      <c r="D506" s="48" t="str">
        <f>'Examens accrédités et ajouts'!F519</f>
        <v>Sang</v>
      </c>
      <c r="E506" s="182" t="str">
        <f>'Examens accrédités et ajouts'!Q519</f>
        <v>BM PT03 _ B _ chromatographie liquide couplée à la spectrométrie de masse en tandem (HPLC-MS/MS) _ Quantitatif _ Automatisée _ 1 _ Système HPLC Shimadzu® couplé à un spectromètre de masse en tandem 4500 Qtrap (ABSciex®).</v>
      </c>
      <c r="F506" s="48" t="str">
        <f>'Examens accrédités et ajouts'!L519</f>
        <v>32760 v1</v>
      </c>
      <c r="G506" s="48">
        <f>'Examens accrédités et ajouts'!M519</f>
        <v>0</v>
      </c>
    </row>
    <row r="507" spans="1:7" hidden="1" x14ac:dyDescent="0.2">
      <c r="A507" s="48" t="str">
        <f>'Examens accrédités et ajouts'!A520</f>
        <v>HOPITAL CHARLES NICOLLE CHU ROUEN</v>
      </c>
      <c r="B507" s="48" t="str">
        <f>'Examens accrédités et ajouts'!B520</f>
        <v>Pharmaco -Toxicologie</v>
      </c>
      <c r="C507" s="48" t="str">
        <f>'Examens accrédités et ajouts'!E520</f>
        <v>Cannabinoïdes (THC, THC-OH et THC-COOH)</v>
      </c>
      <c r="D507" s="48" t="str">
        <f>'Examens accrédités et ajouts'!F520</f>
        <v>sang</v>
      </c>
      <c r="E507" s="182" t="str">
        <f>'Examens accrédités et ajouts'!Q520</f>
        <v>BM PT03 _ B _ Chromatographie liquide haute performance (CHLP) avec détection par spectrométrie de masse en tandem (LC-MS/MS) _ Quantitatif _ Automatisée _ 1 _ Système HPLC Shimadzu® couplé à un spectromètre de masse en tandem 4500 Qtrap (ABSciex®).</v>
      </c>
      <c r="F507" s="48" t="str">
        <f>'Examens accrédités et ajouts'!L520</f>
        <v>27458 v1
27569 v1
27570 v1</v>
      </c>
      <c r="G507" s="48">
        <f>'Examens accrédités et ajouts'!M520</f>
        <v>0</v>
      </c>
    </row>
    <row r="508" spans="1:7" hidden="1" x14ac:dyDescent="0.2">
      <c r="A508" s="48" t="str">
        <f>'Examens accrédités et ajouts'!A521</f>
        <v>HOPITAL CHARLES NICOLLE CHU ROUEN</v>
      </c>
      <c r="B508" s="48" t="str">
        <f>'Examens accrédités et ajouts'!B521</f>
        <v>Pharmaco -Toxicologie</v>
      </c>
      <c r="C508" s="48" t="str">
        <f>'Examens accrédités et ajouts'!E521</f>
        <v>Screening toxicologique</v>
      </c>
      <c r="D508" s="48" t="str">
        <f>'Examens accrédités et ajouts'!F521</f>
        <v>Plasma, urine, sang total</v>
      </c>
      <c r="E508" s="182" t="str">
        <f>'Examens accrédités et ajouts'!Q521</f>
        <v>BM PT03 _ B _ Chromatographie liquide avec détection par spectrométrie de masse _ Qualitatif _ Automatisée _ 1 _ Système HPLC Shimadzu® couplé à un spectromètre de masse en tandem 4500 Qtrap (ABSciex®).</v>
      </c>
      <c r="F508" s="48" t="str">
        <f>'Examens accrédités et ajouts'!L521</f>
        <v>40649 V1</v>
      </c>
      <c r="G508" s="48">
        <f>'Examens accrédités et ajouts'!M521</f>
        <v>0</v>
      </c>
    </row>
    <row r="509" spans="1:7" hidden="1" x14ac:dyDescent="0.2">
      <c r="A509" s="48" t="str">
        <f>'Examens accrédités et ajouts'!A522</f>
        <v>HOPITAL CHARLES NICOLLE CHU ROUEN</v>
      </c>
      <c r="B509" s="48" t="str">
        <f>'Examens accrédités et ajouts'!B522</f>
        <v>Pharmaco -Toxicologie</v>
      </c>
      <c r="C509" s="48" t="str">
        <f>'Examens accrédités et ajouts'!E522</f>
        <v>Posaconazole</v>
      </c>
      <c r="D509" s="48" t="str">
        <f>'Examens accrédités et ajouts'!F522</f>
        <v>Sang</v>
      </c>
      <c r="E509" s="182" t="str">
        <f>'Examens accrédités et ajouts'!Q522</f>
        <v>BM PT03 _ B _ chromatographie liquide couplée à la spectrométrie de masse en tandem (HPLC-MS/MS) _ Quantitatif _ Automatisée _ 1 _ Système HPLC Shimadzu® couplé à un spectromètre de masse en tandem 4500 Qtrap (ABSciex®).</v>
      </c>
      <c r="F509" s="48" t="str">
        <f>'Examens accrédités et ajouts'!L522</f>
        <v>32808 v1</v>
      </c>
      <c r="G509" s="48">
        <f>'Examens accrédités et ajouts'!M522</f>
        <v>0</v>
      </c>
    </row>
    <row r="510" spans="1:7" hidden="1" x14ac:dyDescent="0.2">
      <c r="A510" s="48" t="str">
        <f>'Examens accrédités et ajouts'!A523</f>
        <v>HOPITAL CHARLES NICOLLE CHU ROUEN</v>
      </c>
      <c r="B510" s="48" t="str">
        <f>'Examens accrédités et ajouts'!B523</f>
        <v>Pharmaco -Toxicologie</v>
      </c>
      <c r="C510" s="48" t="str">
        <f>'Examens accrédités et ajouts'!E523</f>
        <v>Méthanol</v>
      </c>
      <c r="D510" s="48" t="str">
        <f>'Examens accrédités et ajouts'!F523</f>
        <v>Sang</v>
      </c>
      <c r="E510" s="182" t="str">
        <f>'Examens accrédités et ajouts'!Q523</f>
        <v>BM PT04 _ B _ Chromatographie en phase gazeuse avec passeur Headspace couplée à un détecteur à ionisation de flamme (CPG-HS-FID) _ Quantitatif _ Automatisée _ 1 _ GC-HS-FID Perkin Elmer (Clarus 580 + TurboMatrix HS16)</v>
      </c>
      <c r="F510" s="48" t="str">
        <f>'Examens accrédités et ajouts'!L523</f>
        <v>28407 v1</v>
      </c>
      <c r="G510" s="48" t="str">
        <f>'Examens accrédités et ajouts'!M523</f>
        <v>extension 2019 auditée en mai 2024</v>
      </c>
    </row>
    <row r="511" spans="1:7" hidden="1" x14ac:dyDescent="0.2">
      <c r="A511" s="48" t="str">
        <f>'Examens accrédités et ajouts'!A524</f>
        <v>HOPITAL CHARLES NICOLLE CHU ROUEN</v>
      </c>
      <c r="B511" s="48" t="str">
        <f>'Examens accrédités et ajouts'!B524</f>
        <v>Pharmaco -Toxicologie</v>
      </c>
      <c r="C511" s="48" t="str">
        <f>'Examens accrédités et ajouts'!E524</f>
        <v>Cannabinoïdes (THC, THC-OH et THC-COOH)</v>
      </c>
      <c r="D511" s="48" t="str">
        <f>'Examens accrédités et ajouts'!F524</f>
        <v>Sang</v>
      </c>
      <c r="E511" s="182" t="str">
        <f>'Examens accrédités et ajouts'!Q524</f>
        <v xml:space="preserve">ML TO03 _ B _ Chromatographie liquide haute performance (CHLP) avec détection par spectrométrie de masse en tandem (LC-MS/MS) _ Quantitatif _ Manuelle _ 1 _ </v>
      </c>
      <c r="F511" s="48" t="str">
        <f>'Examens accrédités et ajouts'!L524</f>
        <v>27458 v1
27569 v1
27570 v1</v>
      </c>
      <c r="G511" s="48">
        <f>'Examens accrédités et ajouts'!M524</f>
        <v>0</v>
      </c>
    </row>
    <row r="512" spans="1:7" hidden="1" x14ac:dyDescent="0.2">
      <c r="A512" s="48" t="str">
        <f>'Examens accrédités et ajouts'!A525</f>
        <v>HOPITAL CHARLES NICOLLE CHU ROUEN</v>
      </c>
      <c r="B512" s="48" t="str">
        <f>'Examens accrédités et ajouts'!B525</f>
        <v>Pharmaco -Toxicologie</v>
      </c>
      <c r="C512" s="48" t="str">
        <f>'Examens accrédités et ajouts'!E525</f>
        <v>Ethanol</v>
      </c>
      <c r="D512" s="48" t="str">
        <f>'Examens accrédités et ajouts'!F525</f>
        <v>Sang</v>
      </c>
      <c r="E512" s="182" t="str">
        <f>'Examens accrédités et ajouts'!Q525</f>
        <v xml:space="preserve">ML TO04 _ B _ Chromatographie en phase gazeuse couplée à un détecteur à ionisation de flamme (CPG-FID) _ Quantitatif _ Manuelle _ 1 _ </v>
      </c>
      <c r="F512" s="48" t="str">
        <f>'Examens accrédités et ajouts'!L525</f>
        <v>27457 v1</v>
      </c>
      <c r="G512" s="48">
        <f>'Examens accrédités et ajouts'!M525</f>
        <v>0</v>
      </c>
    </row>
    <row r="513" spans="1:7" hidden="1" x14ac:dyDescent="0.2">
      <c r="A513" s="48" t="str">
        <f>'Examens accrédités et ajouts'!A526</f>
        <v>HOPITAL CHARLES NICOLLE CHU ROUEN</v>
      </c>
      <c r="B513" s="48" t="str">
        <f>'Examens accrédités et ajouts'!B526</f>
        <v>Virologie</v>
      </c>
      <c r="C513" s="48" t="str">
        <f>'Examens accrédités et ajouts'!E526</f>
        <v>VIH Sérologie (confirmation infection VIH-1)</v>
      </c>
      <c r="D513" s="48" t="str">
        <f>'Examens accrédités et ajouts'!F526</f>
        <v>Sérum</v>
      </c>
      <c r="E513" s="182" t="str">
        <f>'Examens accrédités et ajouts'!Q526</f>
        <v xml:space="preserve">BM MG01 _ A _ Western-blot _ Qualitatif _ Manuelle _  _ </v>
      </c>
      <c r="F513" s="48" t="str">
        <f>'Examens accrédités et ajouts'!L526</f>
        <v xml:space="preserve">16720 v1
</v>
      </c>
      <c r="G513" s="48">
        <f>'Examens accrédités et ajouts'!M526</f>
        <v>0</v>
      </c>
    </row>
    <row r="514" spans="1:7" hidden="1" x14ac:dyDescent="0.2">
      <c r="A514" s="48" t="str">
        <f>'Examens accrédités et ajouts'!A527</f>
        <v>HOPITAL CHARLES NICOLLE CHU ROUEN</v>
      </c>
      <c r="B514" s="48" t="str">
        <f>'Examens accrédités et ajouts'!B527</f>
        <v>Virologie</v>
      </c>
      <c r="C514" s="48" t="str">
        <f>'Examens accrédités et ajouts'!E527</f>
        <v>Varicelle Zona (VZV) Sérologie (IgG - immunité - urgent)</v>
      </c>
      <c r="D514" s="48" t="str">
        <f>'Examens accrédités et ajouts'!F527</f>
        <v>Sérum</v>
      </c>
      <c r="E514" s="182" t="str">
        <f>'Examens accrédités et ajouts'!Q527</f>
        <v>BM MG01 _ A _ EIA _ Quantitatif _ Automatisée _ 1 _ Vidas</v>
      </c>
      <c r="F514" s="48" t="str">
        <f>'Examens accrédités et ajouts'!L527</f>
        <v xml:space="preserve">16301 v1
</v>
      </c>
      <c r="G514" s="48">
        <f>'Examens accrédités et ajouts'!M527</f>
        <v>0</v>
      </c>
    </row>
    <row r="515" spans="1:7" hidden="1" x14ac:dyDescent="0.2">
      <c r="A515" s="48" t="str">
        <f>'Examens accrédités et ajouts'!A528</f>
        <v>HOPITAL CHARLES NICOLLE CHU ROUEN</v>
      </c>
      <c r="B515" s="48" t="str">
        <f>'Examens accrédités et ajouts'!B528</f>
        <v>Virologie</v>
      </c>
      <c r="C515" s="48" t="str">
        <f>'Examens accrédités et ajouts'!E528</f>
        <v>HTLV Sérologie (confirmation infection)</v>
      </c>
      <c r="D515" s="48" t="str">
        <f>'Examens accrédités et ajouts'!F528</f>
        <v>Sérum</v>
      </c>
      <c r="E515" s="182" t="str">
        <f>'Examens accrédités et ajouts'!Q528</f>
        <v xml:space="preserve">BM MG01 _ A _ Western-blot _ Qualitatif _ Manuelle _  _ </v>
      </c>
      <c r="F515" s="48" t="str">
        <f>'Examens accrédités et ajouts'!L528</f>
        <v xml:space="preserve">16723 v1
</v>
      </c>
      <c r="G515" s="48">
        <f>'Examens accrédités et ajouts'!M528</f>
        <v>0</v>
      </c>
    </row>
    <row r="516" spans="1:7" hidden="1" x14ac:dyDescent="0.2">
      <c r="A516" s="48" t="str">
        <f>'Examens accrédités et ajouts'!A529</f>
        <v>HOPITAL CHARLES NICOLLE CHU ROUEN</v>
      </c>
      <c r="B516" s="48" t="str">
        <f>'Examens accrédités et ajouts'!B529</f>
        <v>Virologie</v>
      </c>
      <c r="C516" s="48" t="str">
        <f>'Examens accrédités et ajouts'!E529</f>
        <v>VIH Sérologie (confirmation infection VIH-2)</v>
      </c>
      <c r="D516" s="48" t="str">
        <f>'Examens accrédités et ajouts'!F529</f>
        <v>Sérum</v>
      </c>
      <c r="E516" s="182" t="str">
        <f>'Examens accrédités et ajouts'!Q529</f>
        <v xml:space="preserve">BM MG01 _ A _ Western-blot _ Qualitatif _ Manuelle _  _ </v>
      </c>
      <c r="F516" s="48" t="str">
        <f>'Examens accrédités et ajouts'!L529</f>
        <v xml:space="preserve">16721 v1
</v>
      </c>
      <c r="G516" s="48">
        <f>'Examens accrédités et ajouts'!M529</f>
        <v>0</v>
      </c>
    </row>
    <row r="517" spans="1:7" hidden="1" x14ac:dyDescent="0.2">
      <c r="A517" s="48" t="str">
        <f>'Examens accrédités et ajouts'!A530</f>
        <v>HOPITAL CHARLES NICOLLE CHU ROUEN</v>
      </c>
      <c r="B517" s="48" t="str">
        <f>'Examens accrédités et ajouts'!B530</f>
        <v>Virologie</v>
      </c>
      <c r="C517" s="48" t="str">
        <f>'Examens accrédités et ajouts'!E530</f>
        <v xml:space="preserve">VIH-1 Charge Virale sur sang </v>
      </c>
      <c r="D517" s="48" t="str">
        <f>'Examens accrédités et ajouts'!F530</f>
        <v>Sang</v>
      </c>
      <c r="E517" s="182" t="str">
        <f>'Examens accrédités et ajouts'!Q530</f>
        <v>BM VB01 _ A _ Détection d'acides nucléiques avec amplification, après extraction (PCR en temps réel) - Biologie moléculaire _ Quantitatif _ Automatisée _ 1 _ GeneXpert Infinity (Cepheid)</v>
      </c>
      <c r="F517" s="48" t="str">
        <f>'Examens accrédités et ajouts'!L530</f>
        <v>23281 v5</v>
      </c>
      <c r="G517" s="48" t="str">
        <f>'Examens accrédités et ajouts'!M530</f>
        <v>Changement d'automate le 30/06/25</v>
      </c>
    </row>
    <row r="518" spans="1:7" hidden="1" x14ac:dyDescent="0.2">
      <c r="A518" s="48" t="str">
        <f>'Examens accrédités et ajouts'!A531</f>
        <v>HOPITAL CHARLES NICOLLE CHU ROUEN</v>
      </c>
      <c r="B518" s="48" t="str">
        <f>'Examens accrédités et ajouts'!B531</f>
        <v>Virologie</v>
      </c>
      <c r="C518" s="48" t="str">
        <f>'Examens accrédités et ajouts'!E531</f>
        <v>Charge virale BK virus</v>
      </c>
      <c r="D518" s="48" t="str">
        <f>'Examens accrédités et ajouts'!F531</f>
        <v>sang et urines</v>
      </c>
      <c r="E518" s="182" t="str">
        <f>'Examens accrédités et ajouts'!Q531</f>
        <v>BM VB01 _ A _ Détection d'acides nucléiques avec ou sans amplification, après extraction et purification (hybridation, PCR) Biologie moléculaire _ Quantitatif _ Automatisée _ 1 _ Altostar (Altona)</v>
      </c>
      <c r="F518" s="48" t="str">
        <f>'Examens accrédités et ajouts'!L531</f>
        <v>26494 v5</v>
      </c>
      <c r="G518" s="48">
        <f>'Examens accrédités et ajouts'!M531</f>
        <v>0</v>
      </c>
    </row>
    <row r="519" spans="1:7" hidden="1" x14ac:dyDescent="0.2">
      <c r="A519" s="48" t="str">
        <f>'Examens accrédités et ajouts'!A532</f>
        <v>HOPITAL CHARLES NICOLLE CHU ROUEN</v>
      </c>
      <c r="B519" s="48" t="str">
        <f>'Examens accrédités et ajouts'!B532</f>
        <v>Virologie</v>
      </c>
      <c r="C519" s="48" t="str">
        <f>'Examens accrédités et ajouts'!E532</f>
        <v>Détection qualitative et différenciation de l'ARN des virus de la grippe A/B,  VRS et SARS-CoV-2</v>
      </c>
      <c r="D519" s="48" t="str">
        <f>'Examens accrédités et ajouts'!F532</f>
        <v>écouvillons naso-pharyngés en milieu de transport viral 
LBA / ASPI NASO-PHARYNGEE
plasma</v>
      </c>
      <c r="E519" s="182" t="str">
        <f>'Examens accrédités et ajouts'!Q532</f>
        <v>BM VB01 _ A _ Détection d'acides nucléiques avec ou sans amplification, après extraction et purification (hybridation, PCR, …) – Biologie moléculaire _ Qualitatif _ Automatisée _ 3 _ Cepheid, GeneXpert et Infinity</v>
      </c>
      <c r="F519" s="48" t="str">
        <f>'Examens accrédités et ajouts'!L532</f>
        <v>36105 v4</v>
      </c>
      <c r="G519" s="48" t="str">
        <f>'Examens accrédités et ajouts'!M532</f>
        <v>Changement d'automate le 30/06/25</v>
      </c>
    </row>
    <row r="520" spans="1:7" hidden="1" x14ac:dyDescent="0.2">
      <c r="A520" s="48" t="str">
        <f>'Examens accrédités et ajouts'!A533</f>
        <v>HOPITAL CHARLES NICOLLE CHU ROUEN</v>
      </c>
      <c r="B520" s="48" t="str">
        <f>'Examens accrédités et ajouts'!B533</f>
        <v>Virologie</v>
      </c>
      <c r="C520" s="48" t="str">
        <f>'Examens accrédités et ajouts'!E533</f>
        <v>PCR Grippe VRS SARS-CoV-2</v>
      </c>
      <c r="D520" s="48" t="str">
        <f>'Examens accrédités et ajouts'!F533</f>
        <v>écouvillons naso-pharyngés en milieu de transport viral 
LBA / ASPI NASO-PHARYNGEE</v>
      </c>
      <c r="E520" s="182" t="str">
        <f>'Examens accrédités et ajouts'!Q533</f>
        <v>BM VB01 _ A _ Détection d'acides nucléiques avec ou sans amplification, après extraction et purification (hybridation, PCR, …) – Biologie moléculaire _ Qualitatif _ Automatisée _ 1 _ MGI / CFX96</v>
      </c>
      <c r="F520" s="48" t="str">
        <f>'Examens accrédités et ajouts'!L533</f>
        <v>40085 v1</v>
      </c>
      <c r="G520" s="48" t="str">
        <f>'Examens accrédités et ajouts'!M533</f>
        <v>ajout après audit de mai 2024</v>
      </c>
    </row>
    <row r="521" spans="1:7" hidden="1" x14ac:dyDescent="0.2">
      <c r="A521" s="48" t="str">
        <f>'Examens accrédités et ajouts'!A534</f>
        <v>HOPITAL CHARLES NICOLLE CHU ROUEN</v>
      </c>
      <c r="B521" s="48" t="str">
        <f>'Examens accrédités et ajouts'!B534</f>
        <v>Virologie</v>
      </c>
      <c r="C521" s="48" t="str">
        <f>'Examens accrédités et ajouts'!E534</f>
        <v>EBV Charge virale</v>
      </c>
      <c r="D521" s="48" t="str">
        <f>'Examens accrédités et ajouts'!F534</f>
        <v>Sang</v>
      </c>
      <c r="E521" s="182" t="str">
        <f>'Examens accrédités et ajouts'!Q534</f>
        <v>BM VB01 _ A _ Détection d'acides nucléiques avec amplification, après extraction (PCR en temps réel) - Biologie moléculaire _ Quantitatif _ Automatisée _ 1 _ Altostar (Altona)</v>
      </c>
      <c r="F521" s="48" t="str">
        <f>'Examens accrédités et ajouts'!L534</f>
        <v>13281 V6</v>
      </c>
      <c r="G521" s="48">
        <f>'Examens accrédités et ajouts'!M534</f>
        <v>0</v>
      </c>
    </row>
    <row r="522" spans="1:7" hidden="1" x14ac:dyDescent="0.2">
      <c r="A522" s="48" t="str">
        <f>'Examens accrédités et ajouts'!A535</f>
        <v>HOPITAL CHARLES NICOLLE CHU ROUEN</v>
      </c>
      <c r="B522" s="48" t="str">
        <f>'Examens accrédités et ajouts'!B535</f>
        <v>Virologie</v>
      </c>
      <c r="C522" s="48" t="str">
        <f>'Examens accrédités et ajouts'!E535</f>
        <v>Hépatite B Charge virale sur Sang</v>
      </c>
      <c r="D522" s="48" t="str">
        <f>'Examens accrédités et ajouts'!F535</f>
        <v>Sang</v>
      </c>
      <c r="E522" s="182" t="str">
        <f>'Examens accrédités et ajouts'!Q535</f>
        <v>BM VB01 _ A _ Détection d'acides nucléiques avec amplification, après extraction (PCR en temps réel) - Biologie moléculaire _ Quantitatif _ Automatisée _ 1 _ Panther (Hologic)</v>
      </c>
      <c r="F522" s="48" t="str">
        <f>'Examens accrédités et ajouts'!L535</f>
        <v>10707 V5</v>
      </c>
      <c r="G522" s="48">
        <f>'Examens accrédités et ajouts'!M535</f>
        <v>0</v>
      </c>
    </row>
    <row r="523" spans="1:7" hidden="1" x14ac:dyDescent="0.2">
      <c r="A523" s="48" t="str">
        <f>'Examens accrédités et ajouts'!A536</f>
        <v>HOPITAL CHARLES NICOLLE CHU ROUEN</v>
      </c>
      <c r="B523" s="48" t="str">
        <f>'Examens accrédités et ajouts'!B536</f>
        <v>Virologie</v>
      </c>
      <c r="C523" s="48" t="str">
        <f>'Examens accrédités et ajouts'!E536</f>
        <v>CMV PCR sur liquides divers ou biopsies</v>
      </c>
      <c r="D523" s="48" t="str">
        <f>'Examens accrédités et ajouts'!F536</f>
        <v>Urines, Biopsies, Liquides divers : LCR, amniotique, LBA</v>
      </c>
      <c r="E523" s="182" t="str">
        <f>'Examens accrédités et ajouts'!Q536</f>
        <v>BM VB01 _ B _ Détection d'acides nucléiques avec amplification, après extraction (PCR en temps réel) - Biologie moléculaire _ Qualitatif _ Automatisée _ 2 _ Panther Fusion Hologic</v>
      </c>
      <c r="F523" s="48" t="str">
        <f>'Examens accrédités et ajouts'!L536</f>
        <v>12450 V6</v>
      </c>
      <c r="G523" s="48">
        <f>'Examens accrédités et ajouts'!M536</f>
        <v>0</v>
      </c>
    </row>
    <row r="524" spans="1:7" hidden="1" x14ac:dyDescent="0.2">
      <c r="A524" s="48" t="str">
        <f>'Examens accrédités et ajouts'!A537</f>
        <v>HOPITAL CHARLES NICOLLE CHU ROUEN</v>
      </c>
      <c r="B524" s="48" t="str">
        <f>'Examens accrédités et ajouts'!B537</f>
        <v>Virologie</v>
      </c>
      <c r="C524" s="48" t="str">
        <f>'Examens accrédités et ajouts'!E537</f>
        <v>CMV Charge virale sur sang</v>
      </c>
      <c r="D524" s="48" t="str">
        <f>'Examens accrédités et ajouts'!F537</f>
        <v>Sang</v>
      </c>
      <c r="E524" s="182" t="str">
        <f>'Examens accrédités et ajouts'!Q537</f>
        <v>BM VB01 _ A _ Détection d'acides nucléiques avec amplification, après extraction (PCR en temps réel) - Biologie moléculaire _ Quantitatif _ Automatisée _ 2 _ Panther Fusion Hologic</v>
      </c>
      <c r="F524" s="48" t="str">
        <f>'Examens accrédités et ajouts'!L537</f>
        <v>12449 V6</v>
      </c>
      <c r="G524" s="48">
        <f>'Examens accrédités et ajouts'!M537</f>
        <v>0</v>
      </c>
    </row>
    <row r="525" spans="1:7" hidden="1" x14ac:dyDescent="0.2">
      <c r="A525" s="48" t="str">
        <f>'Examens accrédités et ajouts'!A538</f>
        <v>HOPITAL CHARLES NICOLLE CHU ROUEN</v>
      </c>
      <c r="B525" s="48" t="str">
        <f>'Examens accrédités et ajouts'!B538</f>
        <v>Virologie</v>
      </c>
      <c r="C525" s="48" t="str">
        <f>'Examens accrédités et ajouts'!E538</f>
        <v>Hépatite C Charge virale sur Sang</v>
      </c>
      <c r="D525" s="48" t="str">
        <f>'Examens accrédités et ajouts'!F538</f>
        <v>Sang</v>
      </c>
      <c r="E525" s="182" t="str">
        <f>'Examens accrédités et ajouts'!Q538</f>
        <v>BM VB01 _ A _ Détection d'acides nucléiques avec amplification, après extraction (PCR en temps réel) - Biologie moléculaire _ Quantitatif _ Automatisée _ 1 _ Panther (Hologic)</v>
      </c>
      <c r="F525" s="48" t="str">
        <f>'Examens accrédités et ajouts'!L538</f>
        <v>10384 V6</v>
      </c>
      <c r="G525" s="48">
        <f>'Examens accrédités et ajouts'!M538</f>
        <v>0</v>
      </c>
    </row>
    <row r="526" spans="1:7" hidden="1" x14ac:dyDescent="0.2">
      <c r="A526" s="48" t="str">
        <f>'Examens accrédités et ajouts'!A539</f>
        <v>HOPITAL CHARLES NICOLLE CHU ROUEN</v>
      </c>
      <c r="B526" s="48" t="str">
        <f>'Examens accrédités et ajouts'!B539</f>
        <v>Virologie</v>
      </c>
      <c r="C526" s="48" t="str">
        <f>'Examens accrédités et ajouts'!E539</f>
        <v>VIH-1 Charge Virale sur sang ou le LCR</v>
      </c>
      <c r="D526" s="48" t="str">
        <f>'Examens accrédités et ajouts'!F539</f>
        <v>Sang</v>
      </c>
      <c r="E526" s="182" t="str">
        <f>'Examens accrédités et ajouts'!Q539</f>
        <v>BM VB01 _ A _ Détection d'acides nucléiques avec amplification, après extraction (PCR en temps réel) - Biologie moléculaire _ Quantitatif _ Automatisée _ 1 _ Panther (Hologic)</v>
      </c>
      <c r="F526" s="48" t="str">
        <f>'Examens accrédités et ajouts'!L539</f>
        <v>10347 V7</v>
      </c>
      <c r="G526" s="48">
        <f>'Examens accrédités et ajouts'!M539</f>
        <v>0</v>
      </c>
    </row>
    <row r="527" spans="1:7" hidden="1" x14ac:dyDescent="0.2">
      <c r="A527" s="48" t="str">
        <f>'Examens accrédités et ajouts'!A540</f>
        <v>HOPITAL CHARLES NICOLLE CHU ROUEN</v>
      </c>
      <c r="B527" s="48" t="str">
        <f>'Examens accrédités et ajouts'!B540</f>
        <v>Virologie</v>
      </c>
      <c r="C527" s="48" t="str">
        <f>'Examens accrédités et ajouts'!E540</f>
        <v>Entérovirus PCR sur liquide divers</v>
      </c>
      <c r="D527" s="48" t="str">
        <f>'Examens accrédités et ajouts'!F540</f>
        <v xml:space="preserve">LCR, Liquide amniotique, Selles, Prélèvements respiratoires, Frottis cutané </v>
      </c>
      <c r="E527" s="182" t="str">
        <f>'Examens accrédités et ajouts'!Q540</f>
        <v>BM VB01 _ A _ Détection d'acides nucléiques avec amplification, après extraction (PCR en temps réel) - Biologie moléculaire _ Qualitatif _ Automatisée _ 1 _ Altostar (Altona)</v>
      </c>
      <c r="F527" s="48" t="str">
        <f>'Examens accrédités et ajouts'!L540</f>
        <v>16803 V2</v>
      </c>
      <c r="G527" s="48">
        <f>'Examens accrédités et ajouts'!M540</f>
        <v>0</v>
      </c>
    </row>
    <row r="528" spans="1:7" hidden="1" x14ac:dyDescent="0.2">
      <c r="A528" s="48" t="str">
        <f>'Examens accrédités et ajouts'!A541</f>
        <v>HOPITAL CHARLES NICOLLE CHU ROUEN</v>
      </c>
      <c r="B528" s="48" t="str">
        <f>'Examens accrédités et ajouts'!B541</f>
        <v>Virologie</v>
      </c>
      <c r="C528" s="48" t="str">
        <f>'Examens accrédités et ajouts'!E541</f>
        <v>VZV PCR sur sang ou liquide divers</v>
      </c>
      <c r="D528" s="48" t="str">
        <f>'Examens accrédités et ajouts'!F541</f>
        <v>LCR, Liquide amniotique, Frottis cutané, sang</v>
      </c>
      <c r="E528" s="182" t="str">
        <f>'Examens accrédités et ajouts'!Q541</f>
        <v>BM VB01 _ A _ Détection d'acides nucléiques avec amplification, après extraction (PCR en temps réel) - Biologie moléculaire _ Qualitatif _ Automatisée _ 1 _ Altostar (Altona)</v>
      </c>
      <c r="F528" s="48" t="str">
        <f>'Examens accrédités et ajouts'!L541</f>
        <v>16805 v3</v>
      </c>
      <c r="G528" s="48">
        <f>'Examens accrédités et ajouts'!M541</f>
        <v>0</v>
      </c>
    </row>
    <row r="529" spans="1:7" hidden="1" x14ac:dyDescent="0.2">
      <c r="A529" s="48" t="str">
        <f>'Examens accrédités et ajouts'!A542</f>
        <v>HOPITAL CHARLES NICOLLE CHU ROUEN</v>
      </c>
      <c r="B529" s="48" t="str">
        <f>'Examens accrédités et ajouts'!B542</f>
        <v>Virologie</v>
      </c>
      <c r="C529" s="48" t="str">
        <f>'Examens accrédités et ajouts'!E542</f>
        <v>HSV PCR sur sang ou liquide divers</v>
      </c>
      <c r="D529" s="48" t="str">
        <f>'Examens accrédités et ajouts'!F542</f>
        <v>LCR, Liquide amniotique, Frottis cutané, sang</v>
      </c>
      <c r="E529" s="182" t="str">
        <f>'Examens accrédités et ajouts'!Q542</f>
        <v>BM VB01 _ A _ Détection d'acides nucléiques avec amplification, après extraction (PCR en temps réel) - Biologie moléculaire _ Qualitatif _ Automatisée _ 1 _ Altostar (Altona)</v>
      </c>
      <c r="F529" s="48" t="str">
        <f>'Examens accrédités et ajouts'!L542</f>
        <v>16805 V3</v>
      </c>
      <c r="G529" s="48">
        <f>'Examens accrédités et ajouts'!M542</f>
        <v>0</v>
      </c>
    </row>
    <row r="530" spans="1:7" hidden="1" x14ac:dyDescent="0.2">
      <c r="A530" s="48" t="str">
        <f>'Examens accrédités et ajouts'!A543</f>
        <v>HOPITAL CHARLES NICOLLE CHU ROUEN</v>
      </c>
      <c r="B530" s="48" t="str">
        <f>'Examens accrédités et ajouts'!B543</f>
        <v>Virologie</v>
      </c>
      <c r="C530" s="48" t="str">
        <f>'Examens accrédités et ajouts'!E543</f>
        <v>JC virus PCR sur liquide divers</v>
      </c>
      <c r="D530" s="48" t="str">
        <f>'Examens accrédités et ajouts'!F543</f>
        <v>Liquide céphalo-rachidien</v>
      </c>
      <c r="E530" s="182" t="str">
        <f>'Examens accrédités et ajouts'!Q543</f>
        <v>BM VB01 _ A _ Détection d'acides nucléiques avec amplification, après extraction (PCR en temps réel) - Biologie moléculaire _ Qualitatif _ Automatisée _ 1 _ Altostar (Altona)</v>
      </c>
      <c r="F530" s="48" t="str">
        <f>'Examens accrédités et ajouts'!L543</f>
        <v>19973 V2</v>
      </c>
      <c r="G530" s="48">
        <f>'Examens accrédités et ajouts'!M543</f>
        <v>0</v>
      </c>
    </row>
    <row r="531" spans="1:7" hidden="1" x14ac:dyDescent="0.2">
      <c r="A531" s="48" t="str">
        <f>'Examens accrédités et ajouts'!A544</f>
        <v>HOPITAL CHARLES NICOLLE CHU ROUEN</v>
      </c>
      <c r="B531" s="48" t="str">
        <f>'Examens accrédités et ajouts'!B544</f>
        <v>Virologie</v>
      </c>
      <c r="C531" s="48" t="str">
        <f>'Examens accrédités et ajouts'!E544</f>
        <v xml:space="preserve">VIH séquençage de résistance </v>
      </c>
      <c r="D531" s="48" t="str">
        <f>'Examens accrédités et ajouts'!F544</f>
        <v>Sang</v>
      </c>
      <c r="E531" s="182" t="str">
        <f>'Examens accrédités et ajouts'!Q544</f>
        <v>BM VB01 _ B _ Cartographie d'acides nucléiques (séquençage, amplification, hybridation, …) – Biologie moléculaire _ Qualitatif _ Automatisée _ 1 _ CEQ 8000 (Beckman)</v>
      </c>
      <c r="F531" s="48" t="str">
        <f>'Examens accrédités et ajouts'!L544</f>
        <v>16674 V2
16675 V2</v>
      </c>
      <c r="G531" s="48">
        <f>'Examens accrédités et ajouts'!M544</f>
        <v>0</v>
      </c>
    </row>
    <row r="532" spans="1:7" hidden="1" x14ac:dyDescent="0.2">
      <c r="A532" s="48" t="str">
        <f>'Examens accrédités et ajouts'!A545</f>
        <v>HOPITAL CHARLES NICOLLE CHU ROUEN</v>
      </c>
      <c r="B532" s="48" t="str">
        <f>'Examens accrédités et ajouts'!B545</f>
        <v>Virologie</v>
      </c>
      <c r="C532" s="48" t="str">
        <f>'Examens accrédités et ajouts'!E545</f>
        <v xml:space="preserve">VHC Charge Virale sur sang </v>
      </c>
      <c r="D532" s="48" t="str">
        <f>'Examens accrédités et ajouts'!F545</f>
        <v>Sang</v>
      </c>
      <c r="E532" s="182" t="str">
        <f>'Examens accrédités et ajouts'!Q545</f>
        <v>BM VB01 _ A _ Détection d'acides nucléiques avec amplification, après extraction (PCR en temps réel) - Biologie moléculaire _ Quantitatif _ Automatisée _ 1 _ GeneXpert Infinity (Cepheid)</v>
      </c>
      <c r="F532" s="48" t="str">
        <f>'Examens accrédités et ajouts'!L545</f>
        <v>23278 V4</v>
      </c>
      <c r="G532" s="48" t="str">
        <f>'Examens accrédités et ajouts'!M545</f>
        <v>Changement d'automate le 30/06/25</v>
      </c>
    </row>
    <row r="533" spans="1:7" hidden="1" x14ac:dyDescent="0.2">
      <c r="A533" s="48" t="str">
        <f>'Examens accrédités et ajouts'!A546</f>
        <v>HOPITAL CHARLES NICOLLE CHU ROUEN</v>
      </c>
      <c r="B533" s="48" t="str">
        <f>'Examens accrédités et ajouts'!B546</f>
        <v>Virologie</v>
      </c>
      <c r="C533" s="48" t="str">
        <f>'Examens accrédités et ajouts'!E546</f>
        <v>Charge virale VHB</v>
      </c>
      <c r="D533" s="48" t="str">
        <f>'Examens accrédités et ajouts'!F546</f>
        <v>Sang</v>
      </c>
      <c r="E533" s="182" t="str">
        <f>'Examens accrédités et ajouts'!Q546</f>
        <v>BM VB01 _ A _ Détection d'acides nucléiques avec amplification, après extraction et purification (hybridation, PCR, …) – Biologie moléculaire _ Quantitatif _ Automatisée _ 1 _ GeneXpert Infinity (Cepheid)</v>
      </c>
      <c r="F533" s="48" t="str">
        <f>'Examens accrédités et ajouts'!L546</f>
        <v>29942 v5</v>
      </c>
      <c r="G533" s="48" t="str">
        <f>'Examens accrédités et ajouts'!M546</f>
        <v>Changement d'automate le 30/06/25</v>
      </c>
    </row>
    <row r="534" spans="1:7" hidden="1" x14ac:dyDescent="0.2">
      <c r="A534" s="48" t="str">
        <f>'Examens accrédités et ajouts'!A547</f>
        <v>HOPITAL CHARLES NICOLLE CHU ROUEN</v>
      </c>
      <c r="B534" s="48" t="str">
        <f>'Examens accrédités et ajouts'!B547</f>
        <v>Virologie</v>
      </c>
      <c r="C534" s="48" t="str">
        <f>'Examens accrédités et ajouts'!E547</f>
        <v>Charge virale VIH-2</v>
      </c>
      <c r="D534" s="48" t="str">
        <f>'Examens accrédités et ajouts'!F547</f>
        <v>Sang</v>
      </c>
      <c r="E534" s="182" t="str">
        <f>'Examens accrédités et ajouts'!Q547</f>
        <v>BM VB01 _ A _ Détection d'acides nucléiques avec amplification, après extraction et purification (hybridation, PCR, …) – Biologie moléculaire _ Quantitatif _ Automatisée _ 1 _ CFX96 Deep Well™ de Bio-Rad (n° série : 790BR02361) et EZ1® Advanced XL de Qiagen (n° série : L151A1476)</v>
      </c>
      <c r="F534" s="48" t="str">
        <f>'Examens accrédités et ajouts'!L547</f>
        <v>30257 v1</v>
      </c>
      <c r="G534" s="48">
        <f>'Examens accrédités et ajouts'!M547</f>
        <v>0</v>
      </c>
    </row>
    <row r="535" spans="1:7" hidden="1" x14ac:dyDescent="0.2">
      <c r="A535" s="48" t="str">
        <f>'Examens accrédités et ajouts'!A548</f>
        <v>HOPITAL CHARLES NICOLLE CHU ROUEN</v>
      </c>
      <c r="B535" s="48" t="str">
        <f>'Examens accrédités et ajouts'!B548</f>
        <v>Virologie</v>
      </c>
      <c r="C535" s="48" t="str">
        <f>'Examens accrédités et ajouts'!E548</f>
        <v>PCR hépatite E</v>
      </c>
      <c r="D535" s="48" t="str">
        <f>'Examens accrédités et ajouts'!F548</f>
        <v>Plasma</v>
      </c>
      <c r="E535" s="182" t="str">
        <f>'Examens accrédités et ajouts'!Q548</f>
        <v>BM VB01 _ A _ Détection d'acides nucléiques avec amplification, après extraction et purification (hybridation, PCR, …) – Biologie moléculaire _ Quantitatif _ Automatisée _ 1 _ Altostar (Altona)</v>
      </c>
      <c r="F535" s="48" t="str">
        <f>'Examens accrédités et ajouts'!L548</f>
        <v>40325 v1</v>
      </c>
      <c r="G535" s="48">
        <f>'Examens accrédités et ajouts'!M548</f>
        <v>0</v>
      </c>
    </row>
    <row r="536" spans="1:7" hidden="1" x14ac:dyDescent="0.2">
      <c r="A536" s="48" t="str">
        <f>'Examens accrédités et ajouts'!A549</f>
        <v>HOPITAL CHARLES NICOLLE CHU ROUEN</v>
      </c>
      <c r="B536" s="48" t="str">
        <f>'Examens accrédités et ajouts'!B549</f>
        <v>Virologie</v>
      </c>
      <c r="C536" s="48" t="str">
        <f>'Examens accrédités et ajouts'!E549</f>
        <v>PCR HPV</v>
      </c>
      <c r="D536" s="48" t="str">
        <f>'Examens accrédités et ajouts'!F549</f>
        <v>Frottis cervico-utérin / écouvillons anaux / biopsies ORL</v>
      </c>
      <c r="E536" s="182" t="str">
        <f>'Examens accrédités et ajouts'!Q549</f>
        <v>BM VB01 _ A _ Détection d'acides nucléiques avec ou sans amplification, après extraction et purification (hybridation, PCR) Biologie moléculaire  _ Qualitatif _ Automatisée _ 1 _ Infinity (Cepheid)</v>
      </c>
      <c r="F536" s="48" t="str">
        <f>'Examens accrédités et ajouts'!L549</f>
        <v>38172 v3</v>
      </c>
      <c r="G536" s="48" t="str">
        <f>'Examens accrédités et ajouts'!M549</f>
        <v>Changement d'automate le 30/06/25</v>
      </c>
    </row>
    <row r="537" spans="1:7" hidden="1" x14ac:dyDescent="0.2">
      <c r="A537" s="48" t="str">
        <f>'Examens accrédités et ajouts'!A550</f>
        <v>HOPITAL CHARLES NICOLLE CHU ROUEN</v>
      </c>
      <c r="B537" s="48" t="str">
        <f>'Examens accrédités et ajouts'!B550</f>
        <v>Virologie</v>
      </c>
      <c r="C537" s="48" t="str">
        <f>'Examens accrédités et ajouts'!E550</f>
        <v>PCR ADN VIH-1</v>
      </c>
      <c r="D537" s="48" t="str">
        <f>'Examens accrédités et ajouts'!F550</f>
        <v>sang</v>
      </c>
      <c r="E537" s="182" t="str">
        <f>'Examens accrédités et ajouts'!Q550</f>
        <v>BM VB01 _ A _ Détection d'acides nucléiques avec ou sans amplification, après extraction et purification (hybridation, PCR) Biologie moléculaire  _ Quantitatif _ Automatisée _ 1 _ EZ1 (Qiagen)+ CFX96 (Biorad)</v>
      </c>
      <c r="F537" s="48" t="str">
        <f>'Examens accrédités et ajouts'!L550</f>
        <v>41368 v1</v>
      </c>
      <c r="G537" s="48">
        <f>'Examens accrédités et ajouts'!M550</f>
        <v>0</v>
      </c>
    </row>
    <row r="538" spans="1:7" hidden="1" x14ac:dyDescent="0.2">
      <c r="A538" s="48" t="str">
        <f>'Examens accrédités et ajouts'!A551</f>
        <v>HOPITAL CHARLES NICOLLE CHU ROUEN</v>
      </c>
      <c r="B538" s="48" t="str">
        <f>'Examens accrédités et ajouts'!B551</f>
        <v>Virologie</v>
      </c>
      <c r="C538" s="48" t="str">
        <f>'Examens accrédités et ajouts'!E551</f>
        <v>PCR Rougeole</v>
      </c>
      <c r="D538" s="48" t="str">
        <f>'Examens accrédités et ajouts'!F551</f>
        <v>écouvillons gorges, salive, urine</v>
      </c>
      <c r="E538" s="182" t="str">
        <f>'Examens accrédités et ajouts'!Q551</f>
        <v>BM VB01 _ A _ Détection d'acides nucléiques avec ou sans amplification, après extraction et purification (hybridation, PCR) Biologie moléculaire  _ Qualitatif _ Automatisée _ 1 _ EZ1 (Qiagen)+ CFX96 (Biorad)</v>
      </c>
      <c r="F538" s="48" t="str">
        <f>'Examens accrédités et ajouts'!L551</f>
        <v>39422 v1</v>
      </c>
      <c r="G538" s="48">
        <f>'Examens accrédités et ajouts'!M551</f>
        <v>0</v>
      </c>
    </row>
    <row r="539" spans="1:7" hidden="1" x14ac:dyDescent="0.2">
      <c r="A539" s="48" t="str">
        <f>'Examens accrédités et ajouts'!A552</f>
        <v>HOPITAL CHARLES NICOLLE CHU ROUEN</v>
      </c>
      <c r="B539" s="48" t="str">
        <f>'Examens accrédités et ajouts'!B552</f>
        <v>Virologie</v>
      </c>
      <c r="C539" s="48" t="str">
        <f>'Examens accrédités et ajouts'!E552</f>
        <v>PCR multiplex respiratoire</v>
      </c>
      <c r="D539" s="48" t="str">
        <f>'Examens accrédités et ajouts'!F552</f>
        <v>Ecouvillon naso-pharyngés / LBA</v>
      </c>
      <c r="E539" s="182" t="str">
        <f>'Examens accrédités et ajouts'!Q552</f>
        <v>BM MG05 _ A _ Extraction, Détection d'acides nucléiques _ qualitatif _ automatisée _ 1 _ ePlex Genemark</v>
      </c>
      <c r="F539" s="48" t="str">
        <f>'Examens accrédités et ajouts'!L552</f>
        <v>26218 v1</v>
      </c>
      <c r="G539" s="48" t="str">
        <f>'Examens accrédités et ajouts'!M552</f>
        <v>extension 2019 auditée en mai 2024</v>
      </c>
    </row>
    <row r="540" spans="1:7" hidden="1" x14ac:dyDescent="0.2">
      <c r="A540" s="48" t="str">
        <f>'Examens accrédités et ajouts'!A553</f>
        <v>CENTRE HOSPITALIER SAINT JULIEN</v>
      </c>
      <c r="B540" s="48" t="str">
        <f>'Examens accrédités et ajouts'!B553</f>
        <v>Biochimie Générale</v>
      </c>
      <c r="C540" s="48" t="str">
        <f>'Examens accrédités et ajouts'!E553</f>
        <v>Créatine kinase</v>
      </c>
      <c r="D540" s="48" t="str">
        <f>'Examens accrédités et ajouts'!F553</f>
        <v>Sang</v>
      </c>
      <c r="E540" s="182" t="str">
        <f>'Examens accrédités et ajouts'!Q553</f>
        <v>BM BB01 _ A _ Cinétique enzymatique standardisée IFCC _ Quantitatif _ Automatisée _ 1 _ Cobas Pure</v>
      </c>
      <c r="F540" s="48" t="str">
        <f>'Examens accrédités et ajouts'!L553</f>
        <v>10608 v4</v>
      </c>
      <c r="G540" s="48" t="str">
        <f>'Examens accrédités et ajouts'!M553</f>
        <v>Changement automate:  mise en production le 10/12/2024</v>
      </c>
    </row>
    <row r="541" spans="1:7" hidden="1" x14ac:dyDescent="0.2">
      <c r="A541" s="48" t="str">
        <f>'Examens accrédités et ajouts'!A554</f>
        <v>CENTRE HOSPITALIER SAINT JULIEN</v>
      </c>
      <c r="B541" s="48" t="str">
        <f>'Examens accrédités et ajouts'!B554</f>
        <v>Biochimie Générale</v>
      </c>
      <c r="C541" s="48" t="str">
        <f>'Examens accrédités et ajouts'!E554</f>
        <v>Potassium</v>
      </c>
      <c r="D541" s="48" t="str">
        <f>'Examens accrédités et ajouts'!F554</f>
        <v>Sang</v>
      </c>
      <c r="E541" s="182" t="str">
        <f>'Examens accrédités et ajouts'!Q554</f>
        <v>BM BB01 _ A _ Potentiométrie indirecte _ Quantitatif _ Automatisée _ 1 _ Cobas Pure</v>
      </c>
      <c r="F541" s="48" t="str">
        <f>'Examens accrédités et ajouts'!L554</f>
        <v>10674 v6</v>
      </c>
      <c r="G541" s="48" t="str">
        <f>'Examens accrédités et ajouts'!M554</f>
        <v>Changement automate:  mise en production le 10/12/2024</v>
      </c>
    </row>
    <row r="542" spans="1:7" hidden="1" x14ac:dyDescent="0.2">
      <c r="A542" s="48" t="str">
        <f>'Examens accrédités et ajouts'!A555</f>
        <v>CENTRE HOSPITALIER SAINT JULIEN</v>
      </c>
      <c r="B542" s="48" t="str">
        <f>'Examens accrédités et ajouts'!B555</f>
        <v>Biochimie Générale</v>
      </c>
      <c r="C542" s="48" t="str">
        <f>'Examens accrédités et ajouts'!E555</f>
        <v>Troponine T</v>
      </c>
      <c r="D542" s="48" t="str">
        <f>'Examens accrédités et ajouts'!F555</f>
        <v>Sang</v>
      </c>
      <c r="E542" s="182" t="str">
        <f>'Examens accrédités et ajouts'!Q555</f>
        <v>BM BB01 _ A _ Electrochimiluminescence _ Quantitatif _ Automatisée _ 1 _ Cobas Pure</v>
      </c>
      <c r="F542" s="48" t="str">
        <f>'Examens accrédités et ajouts'!L555</f>
        <v>10673 v6</v>
      </c>
      <c r="G542" s="48" t="str">
        <f>'Examens accrédités et ajouts'!M555</f>
        <v>Changement automate:  mise en production le 10/12/2024</v>
      </c>
    </row>
    <row r="543" spans="1:7" hidden="1" x14ac:dyDescent="0.2">
      <c r="A543" s="48" t="str">
        <f>'Examens accrédités et ajouts'!A556</f>
        <v>CENTRE HOSPITALIER SAINT JULIEN</v>
      </c>
      <c r="B543" s="48" t="str">
        <f>'Examens accrédités et ajouts'!B556</f>
        <v>Biochimie Générale</v>
      </c>
      <c r="C543" s="48" t="str">
        <f>'Examens accrédités et ajouts'!E556</f>
        <v>Phosphatases alcalines</v>
      </c>
      <c r="D543" s="48" t="str">
        <f>'Examens accrédités et ajouts'!F556</f>
        <v>Sang</v>
      </c>
      <c r="E543" s="182" t="str">
        <f>'Examens accrédités et ajouts'!Q556</f>
        <v>BM BB01 _ A _ Colorimétrie enzymatique  _ Quantitatif _ Automatisée _ 1 _ Cobas Pure</v>
      </c>
      <c r="F543" s="48" t="str">
        <f>'Examens accrédités et ajouts'!L556</f>
        <v>14978 v004</v>
      </c>
      <c r="G543" s="48" t="str">
        <f>'Examens accrédités et ajouts'!M556</f>
        <v>Changement automate:  mise en production le 10/12/2024</v>
      </c>
    </row>
    <row r="544" spans="1:7" hidden="1" x14ac:dyDescent="0.2">
      <c r="A544" s="48" t="str">
        <f>'Examens accrédités et ajouts'!A557</f>
        <v>CENTRE HOSPITALIER SAINT JULIEN</v>
      </c>
      <c r="B544" s="48" t="str">
        <f>'Examens accrédités et ajouts'!B557</f>
        <v>Biochimie Générale</v>
      </c>
      <c r="C544" s="48" t="str">
        <f>'Examens accrédités et ajouts'!E557</f>
        <v>Magnésium</v>
      </c>
      <c r="D544" s="48" t="str">
        <f>'Examens accrédités et ajouts'!F557</f>
        <v>Sang</v>
      </c>
      <c r="E544" s="182" t="str">
        <f>'Examens accrédités et ajouts'!Q557</f>
        <v>BM BB01 _ A _ Colorimétrie  _ Quantitatif _ Automatisée _ 1 _ Cobas Roche 6000</v>
      </c>
      <c r="F544" s="48" t="str">
        <f>'Examens accrédités et ajouts'!L557</f>
        <v>15040 v005</v>
      </c>
      <c r="G544" s="48" t="str">
        <f>'Examens accrédités et ajouts'!M557</f>
        <v>Arrêt STJ</v>
      </c>
    </row>
    <row r="545" spans="1:7" hidden="1" x14ac:dyDescent="0.2">
      <c r="A545" s="48" t="str">
        <f>'Examens accrédités et ajouts'!A558</f>
        <v>CENTRE HOSPITALIER SAINT JULIEN</v>
      </c>
      <c r="B545" s="48" t="str">
        <f>'Examens accrédités et ajouts'!B558</f>
        <v>Biochimie Générale</v>
      </c>
      <c r="C545" s="48" t="str">
        <f>'Examens accrédités et ajouts'!E558</f>
        <v>Chlore</v>
      </c>
      <c r="D545" s="48" t="str">
        <f>'Examens accrédités et ajouts'!F558</f>
        <v>Sang</v>
      </c>
      <c r="E545" s="182" t="str">
        <f>'Examens accrédités et ajouts'!Q558</f>
        <v>BM BB01 _ A _ Potentiométrie indirecte _ Quantitatif _ Automatisée _ 1 _ Cobas Pure</v>
      </c>
      <c r="F545" s="48" t="str">
        <f>'Examens accrédités et ajouts'!L558</f>
        <v>15038 v006</v>
      </c>
      <c r="G545" s="48" t="str">
        <f>'Examens accrédités et ajouts'!M558</f>
        <v>Changement automate:  mise en production le 10/12/2024</v>
      </c>
    </row>
    <row r="546" spans="1:7" hidden="1" x14ac:dyDescent="0.2">
      <c r="A546" s="48" t="str">
        <f>'Examens accrédités et ajouts'!A559</f>
        <v>CENTRE HOSPITALIER SAINT JULIEN</v>
      </c>
      <c r="B546" s="48" t="str">
        <f>'Examens accrédités et ajouts'!B559</f>
        <v>Biochimie Générale</v>
      </c>
      <c r="C546" s="48" t="str">
        <f>'Examens accrédités et ajouts'!E559</f>
        <v>Lipase</v>
      </c>
      <c r="D546" s="48" t="str">
        <f>'Examens accrédités et ajouts'!F559</f>
        <v>Sang</v>
      </c>
      <c r="E546" s="182" t="str">
        <f>'Examens accrédités et ajouts'!Q559</f>
        <v>BM BB01 _ A _ Colorimétrie enzymatique _ Quantitatif _ Automatisée _ 1 _ Cobas Pure</v>
      </c>
      <c r="F546" s="48" t="str">
        <f>'Examens accrédités et ajouts'!L559</f>
        <v>15039 v008</v>
      </c>
      <c r="G546" s="48" t="str">
        <f>'Examens accrédités et ajouts'!M559</f>
        <v>Changement automate:  mise en production le 10/12/2024</v>
      </c>
    </row>
    <row r="547" spans="1:7" hidden="1" x14ac:dyDescent="0.2">
      <c r="A547" s="48" t="str">
        <f>'Examens accrédités et ajouts'!A560</f>
        <v>CENTRE HOSPITALIER SAINT JULIEN</v>
      </c>
      <c r="B547" s="48" t="str">
        <f>'Examens accrédités et ajouts'!B560</f>
        <v>Biochimie Générale</v>
      </c>
      <c r="C547" s="48" t="str">
        <f>'Examens accrédités et ajouts'!E560</f>
        <v>Calcium</v>
      </c>
      <c r="D547" s="48" t="str">
        <f>'Examens accrédités et ajouts'!F560</f>
        <v>Sang</v>
      </c>
      <c r="E547" s="182" t="str">
        <f>'Examens accrédités et ajouts'!Q560</f>
        <v>BM BB01 _ A _ Colorimétrie _ Quantitatif _ Automatisée _ 1 _ Cobas Pure</v>
      </c>
      <c r="F547" s="48" t="str">
        <f>'Examens accrédités et ajouts'!L560</f>
        <v>15026 v005</v>
      </c>
      <c r="G547" s="48" t="str">
        <f>'Examens accrédités et ajouts'!M560</f>
        <v>Changement automate:  mise en production le 10/12/2024</v>
      </c>
    </row>
    <row r="548" spans="1:7" hidden="1" x14ac:dyDescent="0.2">
      <c r="A548" s="48" t="str">
        <f>'Examens accrédités et ajouts'!A561</f>
        <v>CENTRE HOSPITALIER SAINT JULIEN</v>
      </c>
      <c r="B548" s="48" t="str">
        <f>'Examens accrédités et ajouts'!B561</f>
        <v>Biochimie Générale</v>
      </c>
      <c r="C548" s="48" t="str">
        <f>'Examens accrédités et ajouts'!E561</f>
        <v>Urée</v>
      </c>
      <c r="D548" s="48" t="str">
        <f>'Examens accrédités et ajouts'!F561</f>
        <v>Sang</v>
      </c>
      <c r="E548" s="182" t="str">
        <f>'Examens accrédités et ajouts'!Q561</f>
        <v>BM BB01 _ A _ Méthode enzymatique (Uréase) _ Quantitatif _ Automatisée _ 1 _ Cobas Pure</v>
      </c>
      <c r="F548" s="48" t="str">
        <f>'Examens accrédités et ajouts'!L561</f>
        <v>15075 v006</v>
      </c>
      <c r="G548" s="48" t="str">
        <f>'Examens accrédités et ajouts'!M561</f>
        <v>Changement automate:  mise en production le 10/12/2024</v>
      </c>
    </row>
    <row r="549" spans="1:7" hidden="1" x14ac:dyDescent="0.2">
      <c r="A549" s="48" t="str">
        <f>'Examens accrédités et ajouts'!A562</f>
        <v>CENTRE HOSPITALIER SAINT JULIEN</v>
      </c>
      <c r="B549" s="48" t="str">
        <f>'Examens accrédités et ajouts'!B562</f>
        <v>Biochimie Générale</v>
      </c>
      <c r="C549" s="48" t="str">
        <f>'Examens accrédités et ajouts'!E562</f>
        <v>Thyréostimuline</v>
      </c>
      <c r="D549" s="48" t="str">
        <f>'Examens accrédités et ajouts'!F562</f>
        <v>Sang</v>
      </c>
      <c r="E549" s="182" t="str">
        <f>'Examens accrédités et ajouts'!Q562</f>
        <v>BM BB01 _ A _ Electrochimiluminescence _ Quantitatif _ Automatisée _ 1 _ Cobas Pure</v>
      </c>
      <c r="F549" s="48" t="str">
        <f>'Examens accrédités et ajouts'!L562</f>
        <v>15073 v003</v>
      </c>
      <c r="G549" s="48" t="str">
        <f>'Examens accrédités et ajouts'!M562</f>
        <v>Changement automate:  mise en production le 10/12/2024</v>
      </c>
    </row>
    <row r="550" spans="1:7" hidden="1" x14ac:dyDescent="0.2">
      <c r="A550" s="48" t="str">
        <f>'Examens accrédités et ajouts'!A563</f>
        <v>CENTRE HOSPITALIER SAINT JULIEN</v>
      </c>
      <c r="B550" s="48" t="str">
        <f>'Examens accrédités et ajouts'!B563</f>
        <v>Biochimie Générale</v>
      </c>
      <c r="C550" s="48" t="str">
        <f>'Examens accrédités et ajouts'!E563</f>
        <v>Sodium</v>
      </c>
      <c r="D550" s="48" t="str">
        <f>'Examens accrédités et ajouts'!F563</f>
        <v>Sang</v>
      </c>
      <c r="E550" s="182" t="str">
        <f>'Examens accrédités et ajouts'!Q563</f>
        <v>BM BB01 _ A _ Potentiométrie indirecte _ Quantitatif _ Automatisée _ 1 _ Cobas Pure</v>
      </c>
      <c r="F550" s="48" t="str">
        <f>'Examens accrédités et ajouts'!L563</f>
        <v>15067 v006</v>
      </c>
      <c r="G550" s="48" t="str">
        <f>'Examens accrédités et ajouts'!M563</f>
        <v>Changement automate:  mise en production le 10/12/2024</v>
      </c>
    </row>
    <row r="551" spans="1:7" hidden="1" x14ac:dyDescent="0.2">
      <c r="A551" s="48" t="str">
        <f>'Examens accrédités et ajouts'!A564</f>
        <v>CENTRE HOSPITALIER SAINT JULIEN</v>
      </c>
      <c r="B551" s="48" t="str">
        <f>'Examens accrédités et ajouts'!B564</f>
        <v>Biochimie Générale</v>
      </c>
      <c r="C551" s="48" t="str">
        <f>'Examens accrédités et ajouts'!E564</f>
        <v>Protides</v>
      </c>
      <c r="D551" s="48" t="str">
        <f>'Examens accrédités et ajouts'!F564</f>
        <v>Sang</v>
      </c>
      <c r="E551" s="182" t="str">
        <f>'Examens accrédités et ajouts'!Q564</f>
        <v>BM BB01 _ A _ Colorimétrique (Biuret) _ Quantitatif _ Automatisée _ 1 _ Cobas Pure</v>
      </c>
      <c r="F551" s="48" t="str">
        <f>'Examens accrédités et ajouts'!L564</f>
        <v>15030 v007</v>
      </c>
      <c r="G551" s="48" t="str">
        <f>'Examens accrédités et ajouts'!M564</f>
        <v>Changement automate:  mise en production le 10/12/2024</v>
      </c>
    </row>
    <row r="552" spans="1:7" hidden="1" x14ac:dyDescent="0.2">
      <c r="A552" s="48" t="str">
        <f>'Examens accrédités et ajouts'!A565</f>
        <v>CENTRE HOSPITALIER SAINT JULIEN</v>
      </c>
      <c r="B552" s="48" t="str">
        <f>'Examens accrédités et ajouts'!B565</f>
        <v>Biochimie Générale</v>
      </c>
      <c r="C552" s="48" t="str">
        <f>'Examens accrédités et ajouts'!E565</f>
        <v>NT-ProBNP</v>
      </c>
      <c r="D552" s="48" t="str">
        <f>'Examens accrédités et ajouts'!F565</f>
        <v>Sang</v>
      </c>
      <c r="E552" s="182" t="str">
        <f>'Examens accrédités et ajouts'!Q565</f>
        <v>BM BB01 _ A _ Electrochimiluminescence _ Quantitatif _ Automatisée _ 1 _ Cobas Pure</v>
      </c>
      <c r="F552" s="48" t="str">
        <f>'Examens accrédités et ajouts'!L565</f>
        <v>15008 v005</v>
      </c>
      <c r="G552" s="48" t="str">
        <f>'Examens accrédités et ajouts'!M565</f>
        <v>Changement automate:  mise en production le 10/12/2024</v>
      </c>
    </row>
    <row r="553" spans="1:7" hidden="1" x14ac:dyDescent="0.2">
      <c r="A553" s="48" t="str">
        <f>'Examens accrédités et ajouts'!A566</f>
        <v>CENTRE HOSPITALIER SAINT JULIEN</v>
      </c>
      <c r="B553" s="48" t="str">
        <f>'Examens accrédités et ajouts'!B566</f>
        <v>Biochimie Générale</v>
      </c>
      <c r="C553" s="48" t="str">
        <f>'Examens accrédités et ajouts'!E566</f>
        <v>Gamma GT</v>
      </c>
      <c r="D553" s="48" t="str">
        <f>'Examens accrédités et ajouts'!F566</f>
        <v>Sang</v>
      </c>
      <c r="E553" s="182" t="str">
        <f>'Examens accrédités et ajouts'!Q566</f>
        <v>BM BB01 _ A _ Colorimétrie   _ Quantitatif _ Automatisée _ 1 _ Cobas Pure</v>
      </c>
      <c r="F553" s="48" t="str">
        <f>'Examens accrédités et ajouts'!L566</f>
        <v>15013 v005</v>
      </c>
      <c r="G553" s="48" t="str">
        <f>'Examens accrédités et ajouts'!M566</f>
        <v>Changement automate:  mise en production le 10/12/2024</v>
      </c>
    </row>
    <row r="554" spans="1:7" hidden="1" x14ac:dyDescent="0.2">
      <c r="A554" s="48" t="str">
        <f>'Examens accrédités et ajouts'!A567</f>
        <v>CENTRE HOSPITALIER SAINT JULIEN</v>
      </c>
      <c r="B554" s="48" t="str">
        <f>'Examens accrédités et ajouts'!B567</f>
        <v>Biochimie Générale</v>
      </c>
      <c r="C554" s="48" t="str">
        <f>'Examens accrédités et ajouts'!E567</f>
        <v>Lactate</v>
      </c>
      <c r="D554" s="48" t="str">
        <f>'Examens accrédités et ajouts'!F567</f>
        <v>Sang</v>
      </c>
      <c r="E554" s="182" t="str">
        <f>'Examens accrédités et ajouts'!Q567</f>
        <v>BM BB01 _ A _ Colorimétrie enzymatique _ Quantitatif _ Automatisée _ 1 _ Cobas Pure</v>
      </c>
      <c r="F554" s="48" t="str">
        <f>'Examens accrédités et ajouts'!L567</f>
        <v>16866 v5</v>
      </c>
      <c r="G554" s="48" t="str">
        <f>'Examens accrédités et ajouts'!M567</f>
        <v>Changement automate:  mise en production le 10/12/2024</v>
      </c>
    </row>
    <row r="555" spans="1:7" hidden="1" x14ac:dyDescent="0.2">
      <c r="A555" s="48" t="str">
        <f>'Examens accrédités et ajouts'!A568</f>
        <v>CENTRE HOSPITALIER SAINT JULIEN</v>
      </c>
      <c r="B555" s="48" t="str">
        <f>'Examens accrédités et ajouts'!B568</f>
        <v>Biochimie Générale</v>
      </c>
      <c r="C555" s="48" t="str">
        <f>'Examens accrédités et ajouts'!E568</f>
        <v>Ferritine sérique</v>
      </c>
      <c r="D555" s="48" t="str">
        <f>'Examens accrédités et ajouts'!F568</f>
        <v>Sang</v>
      </c>
      <c r="E555" s="182" t="str">
        <f>'Examens accrédités et ajouts'!Q568</f>
        <v>BM BB01 _ A _ Electrochimiluminescence _ Quantitatif _ Automatisée _ 1 _ Cobas Roche 6000</v>
      </c>
      <c r="F555" s="48" t="str">
        <f>'Examens accrédités et ajouts'!L568</f>
        <v>25084 v1</v>
      </c>
      <c r="G555" s="48" t="str">
        <f>'Examens accrédités et ajouts'!M568</f>
        <v>Arrêt STJ</v>
      </c>
    </row>
    <row r="556" spans="1:7" hidden="1" x14ac:dyDescent="0.2">
      <c r="A556" s="48" t="str">
        <f>'Examens accrédités et ajouts'!A569</f>
        <v>CENTRE HOSPITALIER SAINT JULIEN</v>
      </c>
      <c r="B556" s="48" t="str">
        <f>'Examens accrédités et ajouts'!B569</f>
        <v>Biochimie Générale</v>
      </c>
      <c r="C556" s="48" t="str">
        <f>'Examens accrédités et ajouts'!E569</f>
        <v>CRP Plasmatique</v>
      </c>
      <c r="D556" s="48" t="str">
        <f>'Examens accrédités et ajouts'!F569</f>
        <v>Sang</v>
      </c>
      <c r="E556" s="182" t="str">
        <f>'Examens accrédités et ajouts'!Q569</f>
        <v>BM BB01 _ A _ Immunoturbidimétrie _ Quantitatif _ Automatisée _ 1 _ Cobas Pure</v>
      </c>
      <c r="F556" s="48" t="str">
        <f>'Examens accrédités et ajouts'!L569</f>
        <v>25052 v3</v>
      </c>
      <c r="G556" s="48" t="str">
        <f>'Examens accrédités et ajouts'!M569</f>
        <v>Changement automate:  mise en production le 10/12/2024</v>
      </c>
    </row>
    <row r="557" spans="1:7" hidden="1" x14ac:dyDescent="0.2">
      <c r="A557" s="48" t="str">
        <f>'Examens accrédités et ajouts'!A570</f>
        <v>CENTRE HOSPITALIER SAINT JULIEN</v>
      </c>
      <c r="B557" s="48" t="str">
        <f>'Examens accrédités et ajouts'!B570</f>
        <v>Biochimie Générale</v>
      </c>
      <c r="C557" s="48" t="str">
        <f>'Examens accrédités et ajouts'!E570</f>
        <v>Cholesterol sérique</v>
      </c>
      <c r="D557" s="48" t="str">
        <f>'Examens accrédités et ajouts'!F570</f>
        <v>Sang</v>
      </c>
      <c r="E557" s="182" t="str">
        <f>'Examens accrédités et ajouts'!Q570</f>
        <v>BM BB01 _ A _ Colorimétrie enzymatique _ Quantitatif _ Automatisée _ 1 _ St Julien : Roche Cobas module c501</v>
      </c>
      <c r="F557" s="48" t="str">
        <f>'Examens accrédités et ajouts'!L570</f>
        <v>23479 v3</v>
      </c>
      <c r="G557" s="48" t="str">
        <f>'Examens accrédités et ajouts'!M570</f>
        <v>Arrêt STJ</v>
      </c>
    </row>
    <row r="558" spans="1:7" hidden="1" x14ac:dyDescent="0.2">
      <c r="A558" s="48" t="str">
        <f>'Examens accrédités et ajouts'!A571</f>
        <v>CENTRE HOSPITALIER SAINT JULIEN</v>
      </c>
      <c r="B558" s="48" t="str">
        <f>'Examens accrédités et ajouts'!B571</f>
        <v>Biochimie Générale</v>
      </c>
      <c r="C558" s="48" t="str">
        <f>'Examens accrédités et ajouts'!E571</f>
        <v>HDL cholesterol sérique</v>
      </c>
      <c r="D558" s="48" t="str">
        <f>'Examens accrédités et ajouts'!F571</f>
        <v>Sang</v>
      </c>
      <c r="E558" s="182" t="str">
        <f>'Examens accrédités et ajouts'!Q571</f>
        <v>BM BB01 _ A _ Colorimétrie enzymatique _ Quantitatif _ Automatisée _ 1 _ St Julien : Roche Cobas module c501</v>
      </c>
      <c r="F558" s="48" t="str">
        <f>'Examens accrédités et ajouts'!L571</f>
        <v>23479 v3</v>
      </c>
      <c r="G558" s="48" t="str">
        <f>'Examens accrédités et ajouts'!M571</f>
        <v>Arrêt STJ</v>
      </c>
    </row>
    <row r="559" spans="1:7" hidden="1" x14ac:dyDescent="0.2">
      <c r="A559" s="48" t="str">
        <f>'Examens accrédités et ajouts'!A572</f>
        <v>CENTRE HOSPITALIER SAINT JULIEN</v>
      </c>
      <c r="B559" s="48" t="str">
        <f>'Examens accrédités et ajouts'!B572</f>
        <v>Biochimie Générale</v>
      </c>
      <c r="C559" s="48" t="str">
        <f>'Examens accrédités et ajouts'!E572</f>
        <v>Triglycérides sériques</v>
      </c>
      <c r="D559" s="48" t="str">
        <f>'Examens accrédités et ajouts'!F572</f>
        <v>Sang</v>
      </c>
      <c r="E559" s="182" t="str">
        <f>'Examens accrédités et ajouts'!Q572</f>
        <v>BM BB01 _ A _ Colorimétrie enzymatique _ Quantitatif _ Automatisée _ 1 _ St Julien : Roche Cobas module c501</v>
      </c>
      <c r="F559" s="48" t="str">
        <f>'Examens accrédités et ajouts'!L572</f>
        <v>22877 v2</v>
      </c>
      <c r="G559" s="48" t="str">
        <f>'Examens accrédités et ajouts'!M572</f>
        <v>Arrêt STJ</v>
      </c>
    </row>
    <row r="560" spans="1:7" hidden="1" x14ac:dyDescent="0.2">
      <c r="A560" s="48" t="str">
        <f>'Examens accrédités et ajouts'!A573</f>
        <v>CENTRE HOSPITALIER SAINT JULIEN</v>
      </c>
      <c r="B560" s="48" t="str">
        <f>'Examens accrédités et ajouts'!B573</f>
        <v>Biochimie Générale</v>
      </c>
      <c r="C560" s="48" t="str">
        <f>'Examens accrédités et ajouts'!E573</f>
        <v>ALAT plasmatique</v>
      </c>
      <c r="D560" s="48" t="str">
        <f>'Examens accrédités et ajouts'!F573</f>
        <v>Sang</v>
      </c>
      <c r="E560" s="182" t="str">
        <f>'Examens accrédités et ajouts'!Q573</f>
        <v>BM BB01 _ A _ Cinétique enzymatique standardisée IFCC _ Quantitatif _ Automatisée _ 1 _ Cobas Pure</v>
      </c>
      <c r="F560" s="48" t="str">
        <f>'Examens accrédités et ajouts'!L573</f>
        <v>23343 v4</v>
      </c>
      <c r="G560" s="48" t="str">
        <f>'Examens accrédités et ajouts'!M573</f>
        <v>Changement automate:  mise en production le 10/12/2024</v>
      </c>
    </row>
    <row r="561" spans="1:7" hidden="1" x14ac:dyDescent="0.2">
      <c r="A561" s="48" t="str">
        <f>'Examens accrédités et ajouts'!A574</f>
        <v>CENTRE HOSPITALIER SAINT JULIEN</v>
      </c>
      <c r="B561" s="48" t="str">
        <f>'Examens accrédités et ajouts'!B574</f>
        <v>Biochimie Générale</v>
      </c>
      <c r="C561" s="48" t="str">
        <f>'Examens accrédités et ajouts'!E574</f>
        <v>ASAT</v>
      </c>
      <c r="D561" s="48" t="str">
        <f>'Examens accrédités et ajouts'!F574</f>
        <v>Sang</v>
      </c>
      <c r="E561" s="182" t="str">
        <f>'Examens accrédités et ajouts'!Q574</f>
        <v>BM BB01 _ A _ Cinétique enzymatique standardisée IFCC _ Quantitatif _ Automatisée _ 1 _ Cobas Pure</v>
      </c>
      <c r="F561" s="48" t="str">
        <f>'Examens accrédités et ajouts'!L574</f>
        <v>23507 v4</v>
      </c>
      <c r="G561" s="48" t="str">
        <f>'Examens accrédités et ajouts'!M574</f>
        <v>Changement automate:  mise en production le 10/12/2024</v>
      </c>
    </row>
    <row r="562" spans="1:7" hidden="1" x14ac:dyDescent="0.2">
      <c r="A562" s="48" t="str">
        <f>'Examens accrédités et ajouts'!A575</f>
        <v>CENTRE HOSPITALIER SAINT JULIEN</v>
      </c>
      <c r="B562" s="48" t="str">
        <f>'Examens accrédités et ajouts'!B575</f>
        <v>Biochimie Générale</v>
      </c>
      <c r="C562" s="48" t="str">
        <f>'Examens accrédités et ajouts'!E575</f>
        <v>Bilirubine totale plasmatique</v>
      </c>
      <c r="D562" s="48" t="str">
        <f>'Examens accrédités et ajouts'!F575</f>
        <v>Sang</v>
      </c>
      <c r="E562" s="182" t="str">
        <f>'Examens accrédités et ajouts'!Q575</f>
        <v>BM BB01 _ A _ Spectrophotométrie  _ Quantitatif _ Automatisée _ 1 _ Cobas Pure c303</v>
      </c>
      <c r="F562" s="48" t="str">
        <f>'Examens accrédités et ajouts'!L575</f>
        <v>42266 v2</v>
      </c>
      <c r="G562" s="48" t="str">
        <f>'Examens accrédités et ajouts'!M575</f>
        <v>Changement de réactif 03/09/25</v>
      </c>
    </row>
    <row r="563" spans="1:7" hidden="1" x14ac:dyDescent="0.2">
      <c r="A563" s="48" t="str">
        <f>'Examens accrédités et ajouts'!A576</f>
        <v>CENTRE HOSPITALIER SAINT JULIEN</v>
      </c>
      <c r="B563" s="48" t="str">
        <f>'Examens accrédités et ajouts'!B576</f>
        <v>Biochimie Générale</v>
      </c>
      <c r="C563" s="48" t="str">
        <f>'Examens accrédités et ajouts'!E576</f>
        <v>Bilirubine conjuguée plasmatique</v>
      </c>
      <c r="D563" s="48" t="str">
        <f>'Examens accrédités et ajouts'!F576</f>
        <v>Sang</v>
      </c>
      <c r="E563" s="182" t="str">
        <f>'Examens accrédités et ajouts'!Q576</f>
        <v>BM BB01 _ A _ Colorimétrie _ Quantitatif _ Automatisée _ 1 _ Cobas Pure</v>
      </c>
      <c r="F563" s="48" t="str">
        <f>'Examens accrédités et ajouts'!L576</f>
        <v>22584 v4</v>
      </c>
      <c r="G563" s="48" t="str">
        <f>'Examens accrédités et ajouts'!M576</f>
        <v>Changement automate:  mise en production le 10/12/2024</v>
      </c>
    </row>
    <row r="564" spans="1:7" hidden="1" x14ac:dyDescent="0.2">
      <c r="A564" s="48" t="str">
        <f>'Examens accrédités et ajouts'!A577</f>
        <v>CENTRE HOSPITALIER SAINT JULIEN</v>
      </c>
      <c r="B564" s="48" t="str">
        <f>'Examens accrédités et ajouts'!B577</f>
        <v>Biochimie Générale</v>
      </c>
      <c r="C564" s="48" t="str">
        <f>'Examens accrédités et ajouts'!E577</f>
        <v>HCG sérique</v>
      </c>
      <c r="D564" s="48" t="str">
        <f>'Examens accrédités et ajouts'!F577</f>
        <v>Sang</v>
      </c>
      <c r="E564" s="182" t="str">
        <f>'Examens accrédités et ajouts'!Q577</f>
        <v>BM BB01 _ A _ Electrochimiluminescence _ Quantitatif _ Automatisée _ 1 _ Cobas Pure</v>
      </c>
      <c r="F564" s="48" t="str">
        <f>'Examens accrédités et ajouts'!L577</f>
        <v>23940 v6</v>
      </c>
      <c r="G564" s="48" t="str">
        <f>'Examens accrédités et ajouts'!M577</f>
        <v>Changement automate:  mise en production le 10/12/2024</v>
      </c>
    </row>
    <row r="565" spans="1:7" hidden="1" x14ac:dyDescent="0.2">
      <c r="A565" s="48" t="str">
        <f>'Examens accrédités et ajouts'!A578</f>
        <v>CENTRE HOSPITALIER SAINT JULIEN</v>
      </c>
      <c r="B565" s="48" t="str">
        <f>'Examens accrédités et ajouts'!B578</f>
        <v>Biochimie Générale</v>
      </c>
      <c r="C565" s="48" t="str">
        <f>'Examens accrédités et ajouts'!E578</f>
        <v>Créatinine plasmatique</v>
      </c>
      <c r="D565" s="48" t="str">
        <f>'Examens accrédités et ajouts'!F578</f>
        <v>Sang</v>
      </c>
      <c r="E565" s="182" t="str">
        <f>'Examens accrédités et ajouts'!Q578</f>
        <v>BM BB01 _ A _ Colorimétrie ou colorimétrie enzymatique _ Quantitatif _ Automatisée _ 1 _ Cobas Pure</v>
      </c>
      <c r="F565" s="48" t="str">
        <f>'Examens accrédités et ajouts'!L578</f>
        <v>24671 v3</v>
      </c>
      <c r="G565" s="48" t="str">
        <f>'Examens accrédités et ajouts'!M578</f>
        <v>Changement automate:  mise en production le 10/12/2024</v>
      </c>
    </row>
    <row r="566" spans="1:7" hidden="1" x14ac:dyDescent="0.2">
      <c r="A566" s="48" t="str">
        <f>'Examens accrédités et ajouts'!A579</f>
        <v>CENTRE HOSPITALIER SAINT JULIEN</v>
      </c>
      <c r="B566" s="48" t="str">
        <f>'Examens accrédités et ajouts'!B579</f>
        <v>Biochimie Générale</v>
      </c>
      <c r="C566" s="48" t="str">
        <f>'Examens accrédités et ajouts'!E579</f>
        <v>DFG : MDRD et CKD-EPI</v>
      </c>
      <c r="D566" s="48" t="str">
        <f>'Examens accrédités et ajouts'!F579</f>
        <v>Sang</v>
      </c>
      <c r="E566" s="182" t="str">
        <f>'Examens accrédités et ajouts'!Q579</f>
        <v>BM BB01 _ A _ Calcul _ Quantitatif _ Automatisée _ NA _ NA</v>
      </c>
      <c r="F566" s="48" t="str">
        <f>'Examens accrédités et ajouts'!L579</f>
        <v>24671 v3</v>
      </c>
      <c r="G566" s="48">
        <f>'Examens accrédités et ajouts'!M579</f>
        <v>0</v>
      </c>
    </row>
    <row r="567" spans="1:7" hidden="1" x14ac:dyDescent="0.2">
      <c r="A567" s="48" t="str">
        <f>'Examens accrédités et ajouts'!A580</f>
        <v>CENTRE HOSPITALIER SAINT JULIEN</v>
      </c>
      <c r="B567" s="48" t="str">
        <f>'Examens accrédités et ajouts'!B580</f>
        <v>Biochimie Générale</v>
      </c>
      <c r="C567" s="48" t="str">
        <f>'Examens accrédités et ajouts'!E580</f>
        <v>Clairance à la créatinine (Cockroft)</v>
      </c>
      <c r="D567" s="48" t="str">
        <f>'Examens accrédités et ajouts'!F580</f>
        <v>Sang</v>
      </c>
      <c r="E567" s="182" t="str">
        <f>'Examens accrédités et ajouts'!Q580</f>
        <v>BM BB01 _ A _ Calcul _ Quantitatif _ Automatisée _ NA _ NA</v>
      </c>
      <c r="F567" s="48" t="str">
        <f>'Examens accrédités et ajouts'!L580</f>
        <v>24671 v3</v>
      </c>
      <c r="G567" s="48">
        <f>'Examens accrédités et ajouts'!M580</f>
        <v>0</v>
      </c>
    </row>
    <row r="568" spans="1:7" hidden="1" x14ac:dyDescent="0.2">
      <c r="A568" s="48" t="str">
        <f>'Examens accrédités et ajouts'!A581</f>
        <v>CENTRE HOSPITALIER SAINT JULIEN</v>
      </c>
      <c r="B568" s="48" t="str">
        <f>'Examens accrédités et ajouts'!B581</f>
        <v>Biochimie Générale</v>
      </c>
      <c r="C568" s="48" t="str">
        <f>'Examens accrédités et ajouts'!E581</f>
        <v>Bicarbonates plasmatiques</v>
      </c>
      <c r="D568" s="48" t="str">
        <f>'Examens accrédités et ajouts'!F581</f>
        <v>Sang</v>
      </c>
      <c r="E568" s="182" t="str">
        <f>'Examens accrédités et ajouts'!Q581</f>
        <v>BM BB01 _ A _ Méthode enzymatique (PEPCK) _ Quantitatif _ Automatisée _ 1 _ Cobas Pure</v>
      </c>
      <c r="F568" s="48" t="str">
        <f>'Examens accrédités et ajouts'!L581</f>
        <v>26347 v1</v>
      </c>
      <c r="G568" s="48" t="str">
        <f>'Examens accrédités et ajouts'!M581</f>
        <v>Changement automate:  mise en production le 10/12/2024</v>
      </c>
    </row>
    <row r="569" spans="1:7" hidden="1" x14ac:dyDescent="0.2">
      <c r="A569" s="48" t="str">
        <f>'Examens accrédités et ajouts'!A582</f>
        <v>CENTRE HOSPITALIER SAINT JULIEN</v>
      </c>
      <c r="B569" s="48" t="str">
        <f>'Examens accrédités et ajouts'!B582</f>
        <v>Biochimie Générale</v>
      </c>
      <c r="C569" s="48" t="str">
        <f>'Examens accrédités et ajouts'!E582</f>
        <v>Acide urique plasmatique</v>
      </c>
      <c r="D569" s="48" t="str">
        <f>'Examens accrédités et ajouts'!F582</f>
        <v>Sang</v>
      </c>
      <c r="E569" s="182" t="str">
        <f>'Examens accrédités et ajouts'!Q582</f>
        <v>BM BB01 _ A _ Colorimétrie enzymatique _ Quantitatif _ Automatisée _ 1 _ Cobas Pure</v>
      </c>
      <c r="F569" s="48" t="str">
        <f>'Examens accrédités et ajouts'!L582</f>
        <v>26271 v2</v>
      </c>
      <c r="G569" s="48" t="str">
        <f>'Examens accrédités et ajouts'!M582</f>
        <v>Changement automate:  mise en production le 10/12/2024</v>
      </c>
    </row>
    <row r="570" spans="1:7" hidden="1" x14ac:dyDescent="0.2">
      <c r="A570" s="48" t="str">
        <f>'Examens accrédités et ajouts'!A583</f>
        <v>CENTRE HOSPITALIER SAINT JULIEN</v>
      </c>
      <c r="B570" s="48" t="str">
        <f>'Examens accrédités et ajouts'!B583</f>
        <v>Biochimie Générale</v>
      </c>
      <c r="C570" s="48" t="str">
        <f>'Examens accrédités et ajouts'!E583</f>
        <v>Phosphore plasmatique</v>
      </c>
      <c r="D570" s="48" t="str">
        <f>'Examens accrédités et ajouts'!F583</f>
        <v>Sang</v>
      </c>
      <c r="E570" s="182" t="str">
        <f>'Examens accrédités et ajouts'!Q583</f>
        <v>BM BB01 _ A _ Spectrophotométrie UV (Molybdate d'ammonium) _ Quantitatif _ Automatisée _ 1 _ Cobas Pure</v>
      </c>
      <c r="F570" s="48" t="str">
        <f>'Examens accrédités et ajouts'!L583</f>
        <v>26256 v3</v>
      </c>
      <c r="G570" s="48" t="str">
        <f>'Examens accrédités et ajouts'!M583</f>
        <v>Changement automate:  mise en production le 10/12/2024</v>
      </c>
    </row>
    <row r="571" spans="1:7" hidden="1" x14ac:dyDescent="0.2">
      <c r="A571" s="48" t="str">
        <f>'Examens accrédités et ajouts'!A584</f>
        <v>CENTRE HOSPITALIER SAINT JULIEN</v>
      </c>
      <c r="B571" s="48" t="str">
        <f>'Examens accrédités et ajouts'!B584</f>
        <v>Biochimie Générale</v>
      </c>
      <c r="C571" s="48" t="str">
        <f>'Examens accrédités et ajouts'!E584</f>
        <v>Glucose plasmatique</v>
      </c>
      <c r="D571" s="48" t="str">
        <f>'Examens accrédités et ajouts'!F584</f>
        <v>Sang</v>
      </c>
      <c r="E571" s="182" t="str">
        <f>'Examens accrédités et ajouts'!Q584</f>
        <v>BM BB01 _ A _ Enzymatique _ Quantitatif _ Automatisée _ 1 _ Cobas Pure</v>
      </c>
      <c r="F571" s="48" t="str">
        <f>'Examens accrédités et ajouts'!L584</f>
        <v>26931 v3</v>
      </c>
      <c r="G571" s="48" t="str">
        <f>'Examens accrédités et ajouts'!M584</f>
        <v>Changement automate:  mise en production le 10/12/2024</v>
      </c>
    </row>
    <row r="572" spans="1:7" hidden="1" x14ac:dyDescent="0.2">
      <c r="A572" s="48" t="str">
        <f>'Examens accrédités et ajouts'!A585</f>
        <v>CENTRE HOSPITALIER SAINT JULIEN</v>
      </c>
      <c r="B572" s="48" t="str">
        <f>'Examens accrédités et ajouts'!B585</f>
        <v>Biochimie Générale</v>
      </c>
      <c r="C572" s="48" t="str">
        <f>'Examens accrédités et ajouts'!E585</f>
        <v>pH (Gaz du sang)</v>
      </c>
      <c r="D572" s="48" t="str">
        <f>'Examens accrédités et ajouts'!F585</f>
        <v>Sang</v>
      </c>
      <c r="E572" s="182" t="str">
        <f>'Examens accrédités et ajouts'!Q585</f>
        <v>BM BB01 _ A _ Potentiométrie directe _ Quantitatif _ Automatisée _ 1 _ GEM 5000
(WERFEN)</v>
      </c>
      <c r="F572" s="48" t="str">
        <f>'Examens accrédités et ajouts'!L585</f>
        <v>34241 v5</v>
      </c>
      <c r="G572" s="48">
        <f>'Examens accrédités et ajouts'!M585</f>
        <v>0</v>
      </c>
    </row>
    <row r="573" spans="1:7" hidden="1" x14ac:dyDescent="0.2">
      <c r="A573" s="48" t="str">
        <f>'Examens accrédités et ajouts'!A586</f>
        <v>CENTRE HOSPITALIER SAINT JULIEN</v>
      </c>
      <c r="B573" s="48" t="str">
        <f>'Examens accrédités et ajouts'!B586</f>
        <v>Biochimie Générale</v>
      </c>
      <c r="C573" s="48" t="str">
        <f>'Examens accrédités et ajouts'!E586</f>
        <v>pO2 (Gaz du sang)</v>
      </c>
      <c r="D573" s="48" t="str">
        <f>'Examens accrédités et ajouts'!F586</f>
        <v>Sang</v>
      </c>
      <c r="E573" s="182" t="str">
        <f>'Examens accrédités et ajouts'!Q586</f>
        <v>BM BB01 _ A _ Potentiométrie directe _ Quantitatif _ Automatisée _ 1 _ GEM 5000
(WERFEN)</v>
      </c>
      <c r="F573" s="48" t="str">
        <f>'Examens accrédités et ajouts'!L586</f>
        <v>34241 v5</v>
      </c>
      <c r="G573" s="48">
        <f>'Examens accrédités et ajouts'!M586</f>
        <v>0</v>
      </c>
    </row>
    <row r="574" spans="1:7" hidden="1" x14ac:dyDescent="0.2">
      <c r="A574" s="48" t="str">
        <f>'Examens accrédités et ajouts'!A587</f>
        <v>CENTRE HOSPITALIER SAINT JULIEN</v>
      </c>
      <c r="B574" s="48" t="str">
        <f>'Examens accrédités et ajouts'!B587</f>
        <v>Biochimie Générale</v>
      </c>
      <c r="C574" s="48" t="str">
        <f>'Examens accrédités et ajouts'!E587</f>
        <v>pCO2 (Gaz du sang)</v>
      </c>
      <c r="D574" s="48" t="str">
        <f>'Examens accrédités et ajouts'!F587</f>
        <v>Sang</v>
      </c>
      <c r="E574" s="182" t="str">
        <f>'Examens accrédités et ajouts'!Q587</f>
        <v>BM BB01 _ A _ Potentiométrie directe _ Quantitatif _ Automatisée _ 1 _ GEM 5000
(WERFEN)</v>
      </c>
      <c r="F574" s="48" t="str">
        <f>'Examens accrédités et ajouts'!L587</f>
        <v>34241 v5</v>
      </c>
      <c r="G574" s="48">
        <f>'Examens accrédités et ajouts'!M587</f>
        <v>0</v>
      </c>
    </row>
    <row r="575" spans="1:7" hidden="1" x14ac:dyDescent="0.2">
      <c r="A575" s="48" t="str">
        <f>'Examens accrédités et ajouts'!A588</f>
        <v>CENTRE HOSPITALIER SAINT JULIEN</v>
      </c>
      <c r="B575" s="48" t="str">
        <f>'Examens accrédités et ajouts'!B588</f>
        <v>Biochimie Générale</v>
      </c>
      <c r="C575" s="48" t="str">
        <f>'Examens accrédités et ajouts'!E588</f>
        <v>Hémogobine Totale (Gaz du sang)</v>
      </c>
      <c r="D575" s="48" t="str">
        <f>'Examens accrédités et ajouts'!F588</f>
        <v>Sang</v>
      </c>
      <c r="E575" s="182" t="str">
        <f>'Examens accrédités et ajouts'!Q588</f>
        <v>BM BB01 _ A _ Absorbance optique _ Quantitatif _ Automatisée _ 1 _ GEM 5000
(WERFEN)</v>
      </c>
      <c r="F575" s="48" t="str">
        <f>'Examens accrédités et ajouts'!L588</f>
        <v>34241 v5</v>
      </c>
      <c r="G575" s="48">
        <f>'Examens accrédités et ajouts'!M588</f>
        <v>0</v>
      </c>
    </row>
    <row r="576" spans="1:7" hidden="1" x14ac:dyDescent="0.2">
      <c r="A576" s="48" t="str">
        <f>'Examens accrédités et ajouts'!A589</f>
        <v>CENTRE HOSPITALIER SAINT JULIEN</v>
      </c>
      <c r="B576" s="48" t="str">
        <f>'Examens accrédités et ajouts'!B589</f>
        <v>Biochimie Générale</v>
      </c>
      <c r="C576" s="48" t="str">
        <f>'Examens accrédités et ajouts'!E589</f>
        <v>Carboxyhémoglobine (Gaz du sang)</v>
      </c>
      <c r="D576" s="48" t="str">
        <f>'Examens accrédités et ajouts'!F589</f>
        <v>Sang</v>
      </c>
      <c r="E576" s="182" t="str">
        <f>'Examens accrédités et ajouts'!Q589</f>
        <v>BM BB01 _ A _ Absorbance optique _ Quantitatif _ Automatisée _ 1 _ GEM 5000
(WERFEN)</v>
      </c>
      <c r="F576" s="48" t="str">
        <f>'Examens accrédités et ajouts'!L589</f>
        <v>34241 v5</v>
      </c>
      <c r="G576" s="48">
        <f>'Examens accrédités et ajouts'!M589</f>
        <v>0</v>
      </c>
    </row>
    <row r="577" spans="1:7" hidden="1" x14ac:dyDescent="0.2">
      <c r="A577" s="48" t="str">
        <f>'Examens accrédités et ajouts'!A590</f>
        <v>CENTRE HOSPITALIER SAINT JULIEN</v>
      </c>
      <c r="B577" s="48" t="str">
        <f>'Examens accrédités et ajouts'!B590</f>
        <v>Biochimie Générale</v>
      </c>
      <c r="C577" s="48" t="str">
        <f>'Examens accrédités et ajouts'!E590</f>
        <v>Oxyhémoglobine (Gaz du sang)</v>
      </c>
      <c r="D577" s="48" t="str">
        <f>'Examens accrédités et ajouts'!F590</f>
        <v>Sang</v>
      </c>
      <c r="E577" s="182" t="str">
        <f>'Examens accrédités et ajouts'!Q590</f>
        <v>BM BB01 _ A _ Absorbance optique _ Quantitatif _ Automatisée _ 1 _ GEM 5000
(WERFEN)</v>
      </c>
      <c r="F577" s="48" t="str">
        <f>'Examens accrédités et ajouts'!L590</f>
        <v>34241 v5</v>
      </c>
      <c r="G577" s="48">
        <f>'Examens accrédités et ajouts'!M590</f>
        <v>0</v>
      </c>
    </row>
    <row r="578" spans="1:7" hidden="1" x14ac:dyDescent="0.2">
      <c r="A578" s="48" t="str">
        <f>'Examens accrédités et ajouts'!A591</f>
        <v>CENTRE HOSPITALIER SAINT JULIEN</v>
      </c>
      <c r="B578" s="48" t="str">
        <f>'Examens accrédités et ajouts'!B591</f>
        <v>Biochimie Générale</v>
      </c>
      <c r="C578" s="48" t="str">
        <f>'Examens accrédités et ajouts'!E591</f>
        <v>Méthémoglobine (Gaz du sang)</v>
      </c>
      <c r="D578" s="48" t="str">
        <f>'Examens accrédités et ajouts'!F591</f>
        <v>Sang</v>
      </c>
      <c r="E578" s="182" t="str">
        <f>'Examens accrédités et ajouts'!Q591</f>
        <v>BM BB01 _ A _ Absorbance optique _ Quantitatif _ Automatisée _ 1 _ GEM 5000
(WERFEN)</v>
      </c>
      <c r="F578" s="48" t="str">
        <f>'Examens accrédités et ajouts'!L591</f>
        <v>34241 v5</v>
      </c>
      <c r="G578" s="48">
        <f>'Examens accrédités et ajouts'!M591</f>
        <v>0</v>
      </c>
    </row>
    <row r="579" spans="1:7" hidden="1" x14ac:dyDescent="0.2">
      <c r="A579" s="48" t="str">
        <f>'Examens accrédités et ajouts'!A592</f>
        <v>CENTRE HOSPITALIER SAINT JULIEN</v>
      </c>
      <c r="B579" s="48" t="str">
        <f>'Examens accrédités et ajouts'!B592</f>
        <v>Hématologie</v>
      </c>
      <c r="C579" s="48" t="str">
        <f>'Examens accrédités et ajouts'!E592</f>
        <v>Temps de Quick</v>
      </c>
      <c r="D579" s="48" t="str">
        <f>'Examens accrédités et ajouts'!F592</f>
        <v>Plasma</v>
      </c>
      <c r="E579" s="182" t="str">
        <f>'Examens accrédités et ajouts'!Q592</f>
        <v>BM CB02 _ A _ Chronométrique _ Quantitatif _ Automatisée _ 1 _ STA COMPACT MAX</v>
      </c>
      <c r="F579" s="48" t="str">
        <f>'Examens accrédités et ajouts'!L592</f>
        <v xml:space="preserve">40393 v2 </v>
      </c>
      <c r="G579" s="48" t="str">
        <f>'Examens accrédités et ajouts'!M592</f>
        <v xml:space="preserve">Changement d'automate à SJU depuis le 25/09/2024 </v>
      </c>
    </row>
    <row r="580" spans="1:7" hidden="1" x14ac:dyDescent="0.2">
      <c r="A580" s="48" t="str">
        <f>'Examens accrédités et ajouts'!A593</f>
        <v>CENTRE HOSPITALIER SAINT JULIEN</v>
      </c>
      <c r="B580" s="48" t="str">
        <f>'Examens accrédités et ajouts'!B593</f>
        <v>Hématologie</v>
      </c>
      <c r="C580" s="48" t="str">
        <f>'Examens accrédités et ajouts'!E593</f>
        <v>Temps de céphaline + activateur</v>
      </c>
      <c r="D580" s="48" t="str">
        <f>'Examens accrédités et ajouts'!F593</f>
        <v>Plasma</v>
      </c>
      <c r="E580" s="182" t="str">
        <f>'Examens accrédités et ajouts'!Q593</f>
        <v>BM CB02 _ A _ Chronométrie _ Quantitatif _ Automatisée _ 1 _ STA COMPACT MAX</v>
      </c>
      <c r="F580" s="48" t="str">
        <f>'Examens accrédités et ajouts'!L593</f>
        <v>40395 v2</v>
      </c>
      <c r="G580" s="48" t="str">
        <f>'Examens accrédités et ajouts'!M593</f>
        <v xml:space="preserve">Changement d'automate à SJU depuis le 25/09/2024 </v>
      </c>
    </row>
    <row r="581" spans="1:7" hidden="1" x14ac:dyDescent="0.2">
      <c r="A581" s="48" t="str">
        <f>'Examens accrédités et ajouts'!A594</f>
        <v>CENTRE HOSPITALIER SAINT JULIEN</v>
      </c>
      <c r="B581" s="48" t="str">
        <f>'Examens accrédités et ajouts'!B594</f>
        <v>Hématologie</v>
      </c>
      <c r="C581" s="48" t="str">
        <f>'Examens accrédités et ajouts'!E594</f>
        <v>Fibrinogène</v>
      </c>
      <c r="D581" s="48" t="str">
        <f>'Examens accrédités et ajouts'!F594</f>
        <v>Plasma</v>
      </c>
      <c r="E581" s="182" t="str">
        <f>'Examens accrédités et ajouts'!Q594</f>
        <v>BM CB02 _ A _ Chronométrie _ Quantitatif _ Automatisée _ 1 _ STA COMPACT MAX</v>
      </c>
      <c r="F581" s="48" t="str">
        <f>'Examens accrédités et ajouts'!L594</f>
        <v>40397 v2</v>
      </c>
      <c r="G581" s="48" t="str">
        <f>'Examens accrédités et ajouts'!M594</f>
        <v xml:space="preserve">Changement d'automate à SJU depuis le 25/09/2024 </v>
      </c>
    </row>
    <row r="582" spans="1:7" hidden="1" x14ac:dyDescent="0.2">
      <c r="A582" s="48" t="str">
        <f>'Examens accrédités et ajouts'!A595</f>
        <v>CENTRE HOSPITALIER SAINT JULIEN</v>
      </c>
      <c r="B582" s="48" t="str">
        <f>'Examens accrédités et ajouts'!B595</f>
        <v>Hématologie</v>
      </c>
      <c r="C582" s="48" t="str">
        <f>'Examens accrédités et ajouts'!E595</f>
        <v>D-Dimères, exclusion de thrombose</v>
      </c>
      <c r="D582" s="48" t="str">
        <f>'Examens accrédités et ajouts'!F595</f>
        <v>Plasma</v>
      </c>
      <c r="E582" s="182" t="str">
        <f>'Examens accrédités et ajouts'!Q595</f>
        <v xml:space="preserve">BM CB02 _ A _ Immunoenzymatique (ELFA) _ Quantitatif _ Automatisée _ 1 _ BIOMERIEUX
Vidas N° IVD3001447 (SJU)
</v>
      </c>
      <c r="F582" s="48" t="str">
        <f>'Examens accrédités et ajouts'!L595</f>
        <v>27508 v3</v>
      </c>
      <c r="G582" s="48">
        <f>'Examens accrédités et ajouts'!M595</f>
        <v>0</v>
      </c>
    </row>
    <row r="583" spans="1:7" hidden="1" x14ac:dyDescent="0.2">
      <c r="A583" s="48" t="str">
        <f>'Examens accrédités et ajouts'!A596</f>
        <v>CENTRE HOSPITALIER SAINT JULIEN</v>
      </c>
      <c r="B583" s="48" t="str">
        <f>'Examens accrédités et ajouts'!B596</f>
        <v>Hématologie</v>
      </c>
      <c r="C583" s="48" t="str">
        <f>'Examens accrédités et ajouts'!E596</f>
        <v>Volume moyen plaquettaire</v>
      </c>
      <c r="D583" s="48" t="str">
        <f>'Examens accrédités et ajouts'!F596</f>
        <v>Sang</v>
      </c>
      <c r="E583" s="182" t="str">
        <f>'Examens accrédités et ajouts'!Q596</f>
        <v>BM HB01 _ A _ Impédance en cytométrie à volume fixe calibré (référence : cellule de Malassez) _ Quantitatif _ Automatisée _ 1 _ SYSMEX XN 550 (SJU)</v>
      </c>
      <c r="F583" s="48" t="str">
        <f>'Examens accrédités et ajouts'!L596</f>
        <v>9899 v14</v>
      </c>
      <c r="G583" s="48" t="str">
        <f>'Examens accrédités et ajouts'!M596</f>
        <v xml:space="preserve">Paramètre de la NFS
</v>
      </c>
    </row>
    <row r="584" spans="1:7" hidden="1" x14ac:dyDescent="0.2">
      <c r="A584" s="48" t="str">
        <f>'Examens accrédités et ajouts'!A597</f>
        <v>CENTRE HOSPITALIER SAINT JULIEN</v>
      </c>
      <c r="B584" s="48" t="str">
        <f>'Examens accrédités et ajouts'!B597</f>
        <v>Hématologie</v>
      </c>
      <c r="C584" s="48" t="str">
        <f>'Examens accrédités et ajouts'!E597</f>
        <v>Volume globulaire moyen</v>
      </c>
      <c r="D584" s="48" t="str">
        <f>'Examens accrédités et ajouts'!F597</f>
        <v>Sang</v>
      </c>
      <c r="E584" s="182" t="str">
        <f>'Examens accrédités et ajouts'!Q597</f>
        <v>BM HB01 _ A _ Le volume globulaire moyen est calculé à partir du taux d'hématocrite et de la numération des globules rouges sur sang total. _ Quantitatif _ Automatisée _ 1 _ SYSMEX XN 550 (SJU)</v>
      </c>
      <c r="F584" s="48" t="str">
        <f>'Examens accrédités et ajouts'!L597</f>
        <v>9899 v14</v>
      </c>
      <c r="G584" s="48" t="str">
        <f>'Examens accrédités et ajouts'!M597</f>
        <v xml:space="preserve">Paramètre de la NFS
</v>
      </c>
    </row>
    <row r="585" spans="1:7" hidden="1" x14ac:dyDescent="0.2">
      <c r="A585" s="48" t="str">
        <f>'Examens accrédités et ajouts'!A598</f>
        <v>CENTRE HOSPITALIER SAINT JULIEN</v>
      </c>
      <c r="B585" s="48" t="str">
        <f>'Examens accrédités et ajouts'!B598</f>
        <v>Hématologie</v>
      </c>
      <c r="C585" s="48" t="str">
        <f>'Examens accrédités et ajouts'!E598</f>
        <v>Polynucléaires Basophiles</v>
      </c>
      <c r="D585" s="48" t="str">
        <f>'Examens accrédités et ajouts'!F598</f>
        <v>Sang</v>
      </c>
      <c r="E585" s="182" t="str">
        <f>'Examens accrédités et ajouts'!Q598</f>
        <v>BM HB01 _ A _ Diffraction optique en cytométrie de flux avec laser semi-conducteur et fluorescence. _ Quantitatif _ Automatisée _ 1 _ SYSMEX XN 550 (SJU)</v>
      </c>
      <c r="F585" s="48" t="str">
        <f>'Examens accrédités et ajouts'!L598</f>
        <v>9899 v14</v>
      </c>
      <c r="G585" s="48" t="str">
        <f>'Examens accrédités et ajouts'!M598</f>
        <v xml:space="preserve">Paramètre de la NFS
</v>
      </c>
    </row>
    <row r="586" spans="1:7" hidden="1" x14ac:dyDescent="0.2">
      <c r="A586" s="48" t="str">
        <f>'Examens accrédités et ajouts'!A599</f>
        <v>CENTRE HOSPITALIER SAINT JULIEN</v>
      </c>
      <c r="B586" s="48" t="str">
        <f>'Examens accrédités et ajouts'!B599</f>
        <v>Hématologie</v>
      </c>
      <c r="C586" s="48" t="str">
        <f>'Examens accrédités et ajouts'!E599</f>
        <v>Plaquettes</v>
      </c>
      <c r="D586" s="48" t="str">
        <f>'Examens accrédités et ajouts'!F599</f>
        <v>Sang</v>
      </c>
      <c r="E586" s="182" t="str">
        <f>'Examens accrédités et ajouts'!Q599</f>
        <v>BM HB01 _ A _ Impédance en cytométrie à volume fixe calibré (référence : cellule de Malassez)
ou
Diffraction optique en cytométrie de flux avec laser semi-conducteur et fluorescence _ Quantitatif _ Automatisée _ 1 _ SYSMEX XN 550 (SJU)</v>
      </c>
      <c r="F586" s="48" t="str">
        <f>'Examens accrédités et ajouts'!L599</f>
        <v>9899 v14</v>
      </c>
      <c r="G586" s="48" t="str">
        <f>'Examens accrédités et ajouts'!M599</f>
        <v xml:space="preserve">Paramètre de la NFS
</v>
      </c>
    </row>
    <row r="587" spans="1:7" hidden="1" x14ac:dyDescent="0.2">
      <c r="A587" s="48" t="str">
        <f>'Examens accrédités et ajouts'!A600</f>
        <v>CENTRE HOSPITALIER SAINT JULIEN</v>
      </c>
      <c r="B587" s="48" t="str">
        <f>'Examens accrédités et ajouts'!B600</f>
        <v>Hématologie</v>
      </c>
      <c r="C587" s="48" t="str">
        <f>'Examens accrédités et ajouts'!E600</f>
        <v>Polynucléaires Eosinophiles</v>
      </c>
      <c r="D587" s="48" t="str">
        <f>'Examens accrédités et ajouts'!F600</f>
        <v>Sang</v>
      </c>
      <c r="E587" s="182" t="str">
        <f>'Examens accrédités et ajouts'!Q600</f>
        <v>BM HB01 _ A _ Diffraction optique en cytométrie de flux avec laser semi-conducteur et fluorescence. _ Quantitatif _ Automatisée _ 1 _ SYSMEX XN 550 (SJU)</v>
      </c>
      <c r="F587" s="48" t="str">
        <f>'Examens accrédités et ajouts'!L600</f>
        <v>9899 v14</v>
      </c>
      <c r="G587" s="48" t="str">
        <f>'Examens accrédités et ajouts'!M600</f>
        <v xml:space="preserve">Paramètre de la NFS
</v>
      </c>
    </row>
    <row r="588" spans="1:7" hidden="1" x14ac:dyDescent="0.2">
      <c r="A588" s="48" t="str">
        <f>'Examens accrédités et ajouts'!A601</f>
        <v>CENTRE HOSPITALIER SAINT JULIEN</v>
      </c>
      <c r="B588" s="48" t="str">
        <f>'Examens accrédités et ajouts'!B601</f>
        <v>Hématologie</v>
      </c>
      <c r="C588" s="48" t="str">
        <f>'Examens accrédités et ajouts'!E601</f>
        <v>Hématocrite</v>
      </c>
      <c r="D588" s="48" t="str">
        <f>'Examens accrédités et ajouts'!F601</f>
        <v>Sang</v>
      </c>
      <c r="E588" s="182" t="str">
        <f>'Examens accrédités et ajouts'!Q601</f>
        <v>BM HB01 _ A _ Variation de résistivité (Impédance) en cytométrie à volume fixe calibré _ Quantitatif _ Automatisée _ 1 _ SYSMEX XN 550 (SJU)</v>
      </c>
      <c r="F588" s="48" t="str">
        <f>'Examens accrédités et ajouts'!L601</f>
        <v>9899 v14</v>
      </c>
      <c r="G588" s="48" t="str">
        <f>'Examens accrédités et ajouts'!M601</f>
        <v xml:space="preserve">Paramètre de la NFS
</v>
      </c>
    </row>
    <row r="589" spans="1:7" hidden="1" x14ac:dyDescent="0.2">
      <c r="A589" s="48" t="str">
        <f>'Examens accrédités et ajouts'!A602</f>
        <v>CENTRE HOSPITALIER SAINT JULIEN</v>
      </c>
      <c r="B589" s="48" t="str">
        <f>'Examens accrédités et ajouts'!B602</f>
        <v>Hématologie</v>
      </c>
      <c r="C589" s="48" t="str">
        <f>'Examens accrédités et ajouts'!E602</f>
        <v xml:space="preserve">Polynucléaires Neutrophiles </v>
      </c>
      <c r="D589" s="48" t="str">
        <f>'Examens accrédités et ajouts'!F602</f>
        <v>Sang</v>
      </c>
      <c r="E589" s="182" t="str">
        <f>'Examens accrédités et ajouts'!Q602</f>
        <v>BM HB01 _ A _ Diffraction optique en cytométrie de flux avec laser semi-conducteur et fluorescence. _ Quantitatif _ Automatisée _ 1 _ SYSMEX XN 550 (SJU)</v>
      </c>
      <c r="F589" s="48" t="str">
        <f>'Examens accrédités et ajouts'!L602</f>
        <v>9899 v14</v>
      </c>
      <c r="G589" s="48" t="str">
        <f>'Examens accrédités et ajouts'!M602</f>
        <v xml:space="preserve">Paramètre de la NFS
</v>
      </c>
    </row>
    <row r="590" spans="1:7" hidden="1" x14ac:dyDescent="0.2">
      <c r="A590" s="48" t="str">
        <f>'Examens accrédités et ajouts'!A603</f>
        <v>CENTRE HOSPITALIER SAINT JULIEN</v>
      </c>
      <c r="B590" s="48" t="str">
        <f>'Examens accrédités et ajouts'!B603</f>
        <v>Hématologie</v>
      </c>
      <c r="C590" s="48" t="str">
        <f>'Examens accrédités et ajouts'!E603</f>
        <v>Hémoglobine</v>
      </c>
      <c r="D590" s="48" t="str">
        <f>'Examens accrédités et ajouts'!F603</f>
        <v>Sang</v>
      </c>
      <c r="E590" s="182" t="str">
        <f>'Examens accrédités et ajouts'!Q603</f>
        <v>BM HB01 _ A _ Photométrie par une dilution dans une cuve spécifique _ Quantitatif _ Automatisée _ 1 _ SYSMEX XN 550 (SJU)</v>
      </c>
      <c r="F590" s="48" t="str">
        <f>'Examens accrédités et ajouts'!L603</f>
        <v>9899 v14</v>
      </c>
      <c r="G590" s="48" t="str">
        <f>'Examens accrédités et ajouts'!M603</f>
        <v xml:space="preserve">Paramètre de la NFS
</v>
      </c>
    </row>
    <row r="591" spans="1:7" hidden="1" x14ac:dyDescent="0.2">
      <c r="A591" s="48" t="str">
        <f>'Examens accrédités et ajouts'!A604</f>
        <v>CENTRE HOSPITALIER SAINT JULIEN</v>
      </c>
      <c r="B591" s="48" t="str">
        <f>'Examens accrédités et ajouts'!B604</f>
        <v>Hématologie</v>
      </c>
      <c r="C591" s="48" t="str">
        <f>'Examens accrédités et ajouts'!E604</f>
        <v>Indice de distribution des globules rouges</v>
      </c>
      <c r="D591" s="48" t="str">
        <f>'Examens accrédités et ajouts'!F604</f>
        <v>Sang</v>
      </c>
      <c r="E591" s="182" t="str">
        <f>'Examens accrédités et ajouts'!Q604</f>
        <v>BM HB01 _ A _ Impédance en cytométrie à volume fixe calibré. _ Quantitatif _ Automatisée _ 1 _ SYSMEX XN 550 (SJU)</v>
      </c>
      <c r="F591" s="48" t="str">
        <f>'Examens accrédités et ajouts'!L604</f>
        <v>9899 v14</v>
      </c>
      <c r="G591" s="48" t="str">
        <f>'Examens accrédités et ajouts'!M604</f>
        <v xml:space="preserve">Paramètre de la NFS
</v>
      </c>
    </row>
    <row r="592" spans="1:7" hidden="1" x14ac:dyDescent="0.2">
      <c r="A592" s="48" t="str">
        <f>'Examens accrédités et ajouts'!A605</f>
        <v>CENTRE HOSPITALIER SAINT JULIEN</v>
      </c>
      <c r="B592" s="48" t="str">
        <f>'Examens accrédités et ajouts'!B605</f>
        <v>Hématologie</v>
      </c>
      <c r="C592" s="48" t="str">
        <f>'Examens accrédités et ajouts'!E605</f>
        <v>Globules Rouges</v>
      </c>
      <c r="D592" s="48" t="str">
        <f>'Examens accrédités et ajouts'!F605</f>
        <v>Sang</v>
      </c>
      <c r="E592" s="182" t="str">
        <f>'Examens accrédités et ajouts'!Q605</f>
        <v>BM HB01 _ A _ Impédance en cytométrie à volume fixe calibré. _ Quantitatif _ Automatisée _ 1 _ SYSMEX XN 550 (SJU)</v>
      </c>
      <c r="F592" s="48" t="str">
        <f>'Examens accrédités et ajouts'!L605</f>
        <v>9899 v14</v>
      </c>
      <c r="G592" s="48" t="str">
        <f>'Examens accrédités et ajouts'!M605</f>
        <v xml:space="preserve">Paramètre de la NFS
</v>
      </c>
    </row>
    <row r="593" spans="1:7" hidden="1" x14ac:dyDescent="0.2">
      <c r="A593" s="48" t="str">
        <f>'Examens accrédités et ajouts'!A606</f>
        <v>CENTRE HOSPITALIER SAINT JULIEN</v>
      </c>
      <c r="B593" s="48" t="str">
        <f>'Examens accrédités et ajouts'!B606</f>
        <v>Hématologie</v>
      </c>
      <c r="C593" s="48" t="str">
        <f>'Examens accrédités et ajouts'!E606</f>
        <v>Concentration corpusculaire moyenne en hémoglobine</v>
      </c>
      <c r="D593" s="48" t="str">
        <f>'Examens accrédités et ajouts'!F606</f>
        <v>Sang</v>
      </c>
      <c r="E593" s="182" t="str">
        <f>'Examens accrédités et ajouts'!Q606</f>
        <v>BM HB01 _ A _ La CCMH est calculée à partir du taux d'hémoglobine et d'hématocrite.  _ Quantitatif _ Automatisée _ 1 _ SYSMEX XN 550 (SJU)</v>
      </c>
      <c r="F593" s="48" t="str">
        <f>'Examens accrédités et ajouts'!L606</f>
        <v>9899 v14</v>
      </c>
      <c r="G593" s="48" t="str">
        <f>'Examens accrédités et ajouts'!M606</f>
        <v xml:space="preserve">Paramètre de la NFS
</v>
      </c>
    </row>
    <row r="594" spans="1:7" hidden="1" x14ac:dyDescent="0.2">
      <c r="A594" s="48" t="str">
        <f>'Examens accrédités et ajouts'!A607</f>
        <v>CENTRE HOSPITALIER SAINT JULIEN</v>
      </c>
      <c r="B594" s="48" t="str">
        <f>'Examens accrédités et ajouts'!B607</f>
        <v>Hématologie</v>
      </c>
      <c r="C594" s="48" t="str">
        <f>'Examens accrédités et ajouts'!E607</f>
        <v>Monocytes</v>
      </c>
      <c r="D594" s="48" t="str">
        <f>'Examens accrédités et ajouts'!F607</f>
        <v>Sang</v>
      </c>
      <c r="E594" s="182" t="str">
        <f>'Examens accrédités et ajouts'!Q607</f>
        <v>BM HB01 _ A _ Diffraction optique en cytométrie de flux avec laser semi-conducteur et fluorescence. _ Quantitatif _ Automatisée _ 1 _ SYSMEX XN 550 (SJU)</v>
      </c>
      <c r="F594" s="48" t="str">
        <f>'Examens accrédités et ajouts'!L607</f>
        <v>9899 v14</v>
      </c>
      <c r="G594" s="48" t="str">
        <f>'Examens accrédités et ajouts'!M607</f>
        <v xml:space="preserve">Paramètre de la NFS
</v>
      </c>
    </row>
    <row r="595" spans="1:7" hidden="1" x14ac:dyDescent="0.2">
      <c r="A595" s="48" t="str">
        <f>'Examens accrédités et ajouts'!A608</f>
        <v>CENTRE HOSPITALIER SAINT JULIEN</v>
      </c>
      <c r="B595" s="48" t="str">
        <f>'Examens accrédités et ajouts'!B608</f>
        <v>Hématologie</v>
      </c>
      <c r="C595" s="48" t="str">
        <f>'Examens accrédités et ajouts'!E608</f>
        <v xml:space="preserve">Lymphocytes </v>
      </c>
      <c r="D595" s="48" t="str">
        <f>'Examens accrédités et ajouts'!F608</f>
        <v>Sang</v>
      </c>
      <c r="E595" s="182" t="str">
        <f>'Examens accrédités et ajouts'!Q608</f>
        <v>BM HB01 _ A _ Diffraction optique en cytométrie de flux avec laser semi-conducteur et fluorescence. _ Quantitatif _ Automatisée _ 1 _ SYSMEX XN 550 (SJU)</v>
      </c>
      <c r="F595" s="48" t="str">
        <f>'Examens accrédités et ajouts'!L608</f>
        <v>9899 v14</v>
      </c>
      <c r="G595" s="48" t="str">
        <f>'Examens accrédités et ajouts'!M608</f>
        <v xml:space="preserve">Paramètre de la NFS
</v>
      </c>
    </row>
    <row r="596" spans="1:7" hidden="1" x14ac:dyDescent="0.2">
      <c r="A596" s="48" t="str">
        <f>'Examens accrédités et ajouts'!A609</f>
        <v>CENTRE HOSPITALIER SAINT JULIEN</v>
      </c>
      <c r="B596" s="48" t="str">
        <f>'Examens accrédités et ajouts'!B609</f>
        <v>Hématologie</v>
      </c>
      <c r="C596" s="48" t="str">
        <f>'Examens accrédités et ajouts'!E609</f>
        <v>Globules Blancs</v>
      </c>
      <c r="D596" s="48" t="str">
        <f>'Examens accrédités et ajouts'!F609</f>
        <v>Sang</v>
      </c>
      <c r="E596" s="182" t="str">
        <f>'Examens accrédités et ajouts'!Q609</f>
        <v>BM HB01 _ A _ Diffraction optique (laser semi-conducteur) en cytométrie de flux et fluorescence. _ Quantitatif _ Automatisée _ 1 _ SYSMEX XN 550 (SJU)</v>
      </c>
      <c r="F596" s="48" t="str">
        <f>'Examens accrédités et ajouts'!L609</f>
        <v>9899 v14</v>
      </c>
      <c r="G596" s="48" t="str">
        <f>'Examens accrédités et ajouts'!M609</f>
        <v xml:space="preserve">Paramètre de la NFS
</v>
      </c>
    </row>
    <row r="597" spans="1:7" hidden="1" x14ac:dyDescent="0.2">
      <c r="A597" s="48" t="str">
        <f>'Examens accrédités et ajouts'!A610</f>
        <v>CENTRE HOSPITALIER SAINT JULIEN</v>
      </c>
      <c r="B597" s="48" t="str">
        <f>'Examens accrédités et ajouts'!B610</f>
        <v>Hématologie</v>
      </c>
      <c r="C597" s="48" t="str">
        <f>'Examens accrédités et ajouts'!E610</f>
        <v>Teneur corpusculaire moyenne en hémoglobine</v>
      </c>
      <c r="D597" s="48" t="str">
        <f>'Examens accrédités et ajouts'!F610</f>
        <v>Sang</v>
      </c>
      <c r="E597" s="182" t="str">
        <f>'Examens accrédités et ajouts'!Q610</f>
        <v>BM HB01 _ A _ La TCMH est calculée à partir du taux d'hémoglobine et du nombre de globules rouges.  _ Quantitatif _ Automatisée _ 1 _ SYSMEX XN 550 (SJU)</v>
      </c>
      <c r="F597" s="48" t="str">
        <f>'Examens accrédités et ajouts'!L610</f>
        <v>9899 v14</v>
      </c>
      <c r="G597" s="48" t="str">
        <f>'Examens accrédités et ajouts'!M610</f>
        <v xml:space="preserve">Paramètre de la NFS
</v>
      </c>
    </row>
    <row r="598" spans="1:7" hidden="1" x14ac:dyDescent="0.2">
      <c r="A598" s="48" t="str">
        <f>'Examens accrédités et ajouts'!A611</f>
        <v>CENTRE HOSPITALIER SAINT JULIEN</v>
      </c>
      <c r="B598" s="48" t="str">
        <f>'Examens accrédités et ajouts'!B611</f>
        <v>Hématologie</v>
      </c>
      <c r="C598" s="48" t="str">
        <f>'Examens accrédités et ajouts'!E611</f>
        <v>Indice de distribution plaquettaire</v>
      </c>
      <c r="D598" s="48" t="str">
        <f>'Examens accrédités et ajouts'!F611</f>
        <v>Sang</v>
      </c>
      <c r="E598" s="182" t="str">
        <f>'Examens accrédités et ajouts'!Q611</f>
        <v>BM HB01 _ A _ Impédance en cytométrie à volume fixe calibré (référence : cellule de Malassez)
 _ Quantitatif _ Automatisée _ 1 _ SYSMEX XN 550 (SJU)</v>
      </c>
      <c r="F598" s="48" t="str">
        <f>'Examens accrédités et ajouts'!L611</f>
        <v>9899 v14</v>
      </c>
      <c r="G598" s="48" t="str">
        <f>'Examens accrédités et ajouts'!M611</f>
        <v xml:space="preserve">Paramètre de la NFS
</v>
      </c>
    </row>
    <row r="599" spans="1:7" hidden="1" x14ac:dyDescent="0.2">
      <c r="A599" s="48" t="str">
        <f>'Examens accrédités et ajouts'!A612</f>
        <v>CENTRE HOSPITALIER SAINT JULIEN</v>
      </c>
      <c r="B599" s="48" t="str">
        <f>'Examens accrédités et ajouts'!B612</f>
        <v>Hématologie</v>
      </c>
      <c r="C599" s="48" t="str">
        <f>'Examens accrédités et ajouts'!E612</f>
        <v>Plaquettes sur  tube citrate</v>
      </c>
      <c r="D599" s="48" t="str">
        <f>'Examens accrédités et ajouts'!F612</f>
        <v>Sang</v>
      </c>
      <c r="E599" s="182" t="str">
        <f>'Examens accrédités et ajouts'!Q612</f>
        <v>BM HB01 _ A _ Impédance en cytométrie à volume fixe calibré (référence : cellule de Malassez)
ou
Diffraction optique en cytométrie de flux avec laser semi-conducteur et fluorescence _ Quantitatif _ Automatisée _ 1 _ SYSMEX XN 550 (SJU)</v>
      </c>
      <c r="F599" s="48" t="str">
        <f>'Examens accrédités et ajouts'!L612</f>
        <v>9899 v14</v>
      </c>
      <c r="G599" s="48">
        <f>'Examens accrédités et ajouts'!M612</f>
        <v>0</v>
      </c>
    </row>
    <row r="600" spans="1:7" hidden="1" x14ac:dyDescent="0.2">
      <c r="A600" s="48" t="str">
        <f>'Examens accrédités et ajouts'!A613</f>
        <v>CENTRE HOSPITALIER SAINT JULIEN</v>
      </c>
      <c r="B600" s="48" t="str">
        <f>'Examens accrédités et ajouts'!B613</f>
        <v>Hématologie</v>
      </c>
      <c r="C600" s="48" t="str">
        <f>'Examens accrédités et ajouts'!E613</f>
        <v>Globules rouges optiques</v>
      </c>
      <c r="D600" s="48" t="str">
        <f>'Examens accrédités et ajouts'!F613</f>
        <v>Sang</v>
      </c>
      <c r="E600" s="182" t="str">
        <f>'Examens accrédités et ajouts'!Q613</f>
        <v>BM HB01 _ A _ Méthode de détection par l’optique _ Quantitatif _ Automatisée _ 1 _ SYSMEX XN 550 (SJU)</v>
      </c>
      <c r="F600" s="48" t="str">
        <f>'Examens accrédités et ajouts'!L613</f>
        <v>9899 v14</v>
      </c>
      <c r="G600" s="48">
        <f>'Examens accrédités et ajouts'!M613</f>
        <v>0</v>
      </c>
    </row>
    <row r="601" spans="1:7" hidden="1" x14ac:dyDescent="0.2">
      <c r="A601" s="48" t="str">
        <f>'Examens accrédités et ajouts'!A614</f>
        <v>CENTRE HOSPITALIER SAINT JULIEN</v>
      </c>
      <c r="B601" s="48" t="str">
        <f>'Examens accrédités et ajouts'!B614</f>
        <v>Hématologie</v>
      </c>
      <c r="C601" s="48" t="str">
        <f>'Examens accrédités et ajouts'!E614</f>
        <v>Morphologie érythrocytaire</v>
      </c>
      <c r="D601" s="48" t="str">
        <f>'Examens accrédités et ajouts'!F614</f>
        <v>Sang</v>
      </c>
      <c r="E601" s="182" t="str">
        <f>'Examens accrédités et ajouts'!Q614</f>
        <v xml:space="preserve">BM HB01 _ A _ Etude de la morphologie des hématies sur frottis sanguin au microscope. _ Qualitatif _ Manuelle _  _ </v>
      </c>
      <c r="F601" s="48" t="str">
        <f>'Examens accrédités et ajouts'!L614</f>
        <v>14907 v2</v>
      </c>
      <c r="G601" s="48">
        <f>'Examens accrédités et ajouts'!M614</f>
        <v>0</v>
      </c>
    </row>
    <row r="602" spans="1:7" hidden="1" x14ac:dyDescent="0.2">
      <c r="A602" s="48" t="str">
        <f>'Examens accrédités et ajouts'!A615</f>
        <v>CENTRE HOSPITALIER SAINT JULIEN</v>
      </c>
      <c r="B602" s="48" t="str">
        <f>'Examens accrédités et ajouts'!B615</f>
        <v>Hématologie</v>
      </c>
      <c r="C602" s="48" t="str">
        <f>'Examens accrédités et ajouts'!E615</f>
        <v>Formule sanguine en micrscopie optique</v>
      </c>
      <c r="D602" s="48" t="str">
        <f>'Examens accrédités et ajouts'!F615</f>
        <v>Sang</v>
      </c>
      <c r="E602" s="182" t="str">
        <f>'Examens accrédités et ajouts'!Q615</f>
        <v xml:space="preserve">BM HB01 _ A _ Microscopie optique _ Qualitatif _ Manuelle _  _ </v>
      </c>
      <c r="F602" s="48" t="str">
        <f>'Examens accrédités et ajouts'!L615</f>
        <v>14907 v2</v>
      </c>
      <c r="G602" s="48" t="str">
        <f>'Examens accrédités et ajouts'!M615</f>
        <v xml:space="preserve">Paramètre de la NFS
</v>
      </c>
    </row>
    <row r="603" spans="1:7" hidden="1" x14ac:dyDescent="0.2">
      <c r="A603" s="48" t="str">
        <f>'Examens accrédités et ajouts'!A616</f>
        <v>CENTRE HOSPITALIER SAINT JULIEN</v>
      </c>
      <c r="B603" s="48" t="str">
        <f>'Examens accrédités et ajouts'!B616</f>
        <v>Hématologie</v>
      </c>
      <c r="C603" s="48" t="str">
        <f>'Examens accrédités et ajouts'!E616</f>
        <v>Réticulocytes méthode automatisée</v>
      </c>
      <c r="D603" s="48" t="str">
        <f>'Examens accrédités et ajouts'!F616</f>
        <v>Sang</v>
      </c>
      <c r="E603" s="182" t="str">
        <f>'Examens accrédités et ajouts'!Q616</f>
        <v xml:space="preserve">BM HB01 _ A _ Diffraction optique en cytométrie de flux avec laser semi-conducteur et fluorescence _ Quantitatif _ Automatisée _ 1 _ SYSMEX XN 550 </v>
      </c>
      <c r="F603" s="48" t="str">
        <f>'Examens accrédités et ajouts'!L616</f>
        <v>9899 v14</v>
      </c>
      <c r="G603" s="48">
        <f>'Examens accrédités et ajouts'!M616</f>
        <v>0</v>
      </c>
    </row>
    <row r="604" spans="1:7" hidden="1" x14ac:dyDescent="0.2">
      <c r="A604" s="48" t="str">
        <f>'Examens accrédités et ajouts'!A617</f>
        <v>HOPITAL CHARLES NICOLLE CHU ROUEN</v>
      </c>
      <c r="B604" s="48" t="str">
        <f>'Examens accrédités et ajouts'!B617</f>
        <v>Centres de prélèvement 
Consultation hématologie
Biologie de la reproduction</v>
      </c>
      <c r="C604" s="48" t="str">
        <f>'Examens accrédités et ajouts'!E617</f>
        <v>NA</v>
      </c>
      <c r="D604" s="48" t="str">
        <f>'Examens accrédités et ajouts'!F617</f>
        <v>Sang</v>
      </c>
      <c r="E604" s="182" t="str">
        <f>'Examens accrédités et ajouts'!Q617</f>
        <v xml:space="preserve">BM PP01 _ NA _ Prélèvement par ponction veineuse directe _  _  _  _ </v>
      </c>
      <c r="F604" s="48" t="str">
        <f>'Examens accrédités et ajouts'!L617</f>
        <v xml:space="preserve">Viskali
Protocole institutionnel de prélèvement veineux périphérique (Gedi 1161) </v>
      </c>
      <c r="G604" s="48" t="str">
        <f>'Examens accrédités et ajouts'!M617</f>
        <v>extension demandée en novembre 2024</v>
      </c>
    </row>
    <row r="605" spans="1:7" hidden="1" x14ac:dyDescent="0.2">
      <c r="A605" s="48" t="str">
        <f>'Examens accrédités et ajouts'!A618</f>
        <v>HOPITAL CHARLES NICOLLE CHU ROUEN</v>
      </c>
      <c r="B605" s="48" t="str">
        <f>'Examens accrédités et ajouts'!B618</f>
        <v xml:space="preserve">Centres de prélèvement 
</v>
      </c>
      <c r="C605" s="48" t="str">
        <f>'Examens accrédités et ajouts'!E618</f>
        <v>NA</v>
      </c>
      <c r="D605" s="48" t="str">
        <f>'Examens accrédités et ajouts'!F618</f>
        <v>Sang</v>
      </c>
      <c r="E605" s="182" t="str">
        <f>'Examens accrédités et ajouts'!Q618</f>
        <v xml:space="preserve">BM PP01 _ NA _ Prélèvement par ponction artérielle _  _  _  _ </v>
      </c>
      <c r="F605" s="48" t="str">
        <f>'Examens accrédités et ajouts'!L618</f>
        <v xml:space="preserve">Viskali
Protocole institutionnel de ponction artérielle </v>
      </c>
      <c r="G605" s="48" t="str">
        <f>'Examens accrédités et ajouts'!M618</f>
        <v>extension demandée en novembre 2024</v>
      </c>
    </row>
    <row r="606" spans="1:7" hidden="1" x14ac:dyDescent="0.2">
      <c r="A606" s="48" t="str">
        <f>'Examens accrédités et ajouts'!A619</f>
        <v>HOPITAL CHARLES NICOLLE CHU ROUEN</v>
      </c>
      <c r="B606" s="48" t="str">
        <f>'Examens accrédités et ajouts'!B619</f>
        <v xml:space="preserve">Centres de prélèvement 
</v>
      </c>
      <c r="C606" s="48" t="str">
        <f>'Examens accrédités et ajouts'!E619</f>
        <v>NA</v>
      </c>
      <c r="D606" s="48" t="str">
        <f>'Examens accrédités et ajouts'!F619</f>
        <v>Urines</v>
      </c>
      <c r="E606" s="182" t="str">
        <f>'Examens accrédités et ajouts'!Q619</f>
        <v xml:space="preserve">BM PP01 _ NA _ Prélèvement par pose d’une poche pédiatrique _  _  _  _ </v>
      </c>
      <c r="F606" s="48" t="str">
        <f>'Examens accrédités et ajouts'!L619</f>
        <v xml:space="preserve">Viskali
</v>
      </c>
      <c r="G606" s="48" t="str">
        <f>'Examens accrédités et ajouts'!M619</f>
        <v>extension demandée en novembre 2024</v>
      </c>
    </row>
    <row r="607" spans="1:7" hidden="1" x14ac:dyDescent="0.2">
      <c r="A607" s="48" t="str">
        <f>'Examens accrédités et ajouts'!A620</f>
        <v>HOPITAL CHARLES NICOLLE CHU ROUEN</v>
      </c>
      <c r="B607" s="48" t="str">
        <f>'Examens accrédités et ajouts'!B620</f>
        <v>Centres de prélèvement 
Biologie de la reproduction</v>
      </c>
      <c r="C607" s="48" t="str">
        <f>'Examens accrédités et ajouts'!E620</f>
        <v>NA</v>
      </c>
      <c r="D607" s="48" t="str">
        <f>'Examens accrédités et ajouts'!F620</f>
        <v>Urines</v>
      </c>
      <c r="E607" s="182" t="str">
        <f>'Examens accrédités et ajouts'!Q620</f>
        <v xml:space="preserve">BM PP01 _ NA _ Recueil des urines
Prélèvement par recueil sur le site de prélèvement de poche. _  _  _  _ </v>
      </c>
      <c r="F607" s="48" t="str">
        <f>'Examens accrédités et ajouts'!L620</f>
        <v>Viskali
Protocole institutionnel de recueil des urines en vue d’un ECBU et autres examens de biologie chez un patient non sondé (Gedi 6868)
Protocole institutionnel de recueil des urines chez un patient porteur d’une sonde vésicale (Gedi 245)</v>
      </c>
      <c r="G607" s="48" t="str">
        <f>'Examens accrédités et ajouts'!M620</f>
        <v>extension demandée en novembre 2024</v>
      </c>
    </row>
    <row r="608" spans="1:7" hidden="1" x14ac:dyDescent="0.2">
      <c r="A608" s="48" t="str">
        <f>'Examens accrédités et ajouts'!A621</f>
        <v>HOPITAL CHARLES NICOLLE CHU ROUEN</v>
      </c>
      <c r="B608" s="48" t="str">
        <f>'Examens accrédités et ajouts'!B621</f>
        <v xml:space="preserve">Centres de prélèvement 
</v>
      </c>
      <c r="C608" s="48" t="str">
        <f>'Examens accrédités et ajouts'!E621</f>
        <v>NA</v>
      </c>
      <c r="D608" s="48" t="str">
        <f>'Examens accrédités et ajouts'!F621</f>
        <v>Salive</v>
      </c>
      <c r="E608" s="182" t="str">
        <f>'Examens accrédités et ajouts'!Q621</f>
        <v xml:space="preserve">BM PP01 _ NA _ Ecouvillonnage
Recueil salivaire sur buvard _  _  _  _ </v>
      </c>
      <c r="F608" s="48" t="str">
        <f>'Examens accrédités et ajouts'!L621</f>
        <v>Viskali</v>
      </c>
      <c r="G608" s="48" t="str">
        <f>'Examens accrédités et ajouts'!M621</f>
        <v>extension demandée en novembre 2024</v>
      </c>
    </row>
    <row r="609" spans="1:7" hidden="1" x14ac:dyDescent="0.2">
      <c r="A609" s="48" t="str">
        <f>'Examens accrédités et ajouts'!A622</f>
        <v>HOPITAL CHARLES NICOLLE CHU ROUEN</v>
      </c>
      <c r="B609" s="48" t="str">
        <f>'Examens accrédités et ajouts'!B622</f>
        <v>Centres de prélèvement</v>
      </c>
      <c r="C609" s="48" t="str">
        <f>'Examens accrédités et ajouts'!E622</f>
        <v>NA</v>
      </c>
      <c r="D609" s="48" t="str">
        <f>'Examens accrédités et ajouts'!F622</f>
        <v>Crachats</v>
      </c>
      <c r="E609" s="182" t="str">
        <f>'Examens accrédités et ajouts'!Q622</f>
        <v xml:space="preserve">BM PP01 _ NA _ Recueil du crachat _  _  _  _ </v>
      </c>
      <c r="F609" s="48" t="str">
        <f>'Examens accrédités et ajouts'!L622</f>
        <v>Viskali</v>
      </c>
      <c r="G609" s="48" t="str">
        <f>'Examens accrédités et ajouts'!M622</f>
        <v>extension demandée en novembre 2024</v>
      </c>
    </row>
    <row r="610" spans="1:7" hidden="1" x14ac:dyDescent="0.2">
      <c r="A610" s="48" t="str">
        <f>'Examens accrédités et ajouts'!A623</f>
        <v>HOPITAL CHARLES NICOLLE CHU ROUEN</v>
      </c>
      <c r="B610" s="48" t="str">
        <f>'Examens accrédités et ajouts'!B623</f>
        <v xml:space="preserve">Centres de prélèvement 
</v>
      </c>
      <c r="C610" s="48" t="str">
        <f>'Examens accrédités et ajouts'!E623</f>
        <v>NA</v>
      </c>
      <c r="D610" s="48" t="str">
        <f>'Examens accrédités et ajouts'!F623</f>
        <v>Selles</v>
      </c>
      <c r="E610" s="182" t="str">
        <f>'Examens accrédités et ajouts'!Q623</f>
        <v xml:space="preserve">BM PP01 _ NA _ Recueil des selles _  _  _  _ </v>
      </c>
      <c r="F610" s="48" t="str">
        <f>'Examens accrédités et ajouts'!L623</f>
        <v xml:space="preserve">Viskali
Microbiologie : Prélèvements effectués à l'unité de prélèvement (UP) (GEDI 3706)
</v>
      </c>
      <c r="G610" s="48" t="str">
        <f>'Examens accrédités et ajouts'!M623</f>
        <v>extension demandée en novembre 2024</v>
      </c>
    </row>
    <row r="611" spans="1:7" hidden="1" x14ac:dyDescent="0.2">
      <c r="A611" s="48" t="str">
        <f>'Examens accrédités et ajouts'!A624</f>
        <v>HOPITAL CHARLES NICOLLE CHU ROUEN</v>
      </c>
      <c r="B611" s="48" t="str">
        <f>'Examens accrédités et ajouts'!B624</f>
        <v>Centres de prélèvement 
Biologie de la reproduction</v>
      </c>
      <c r="C611" s="48" t="str">
        <f>'Examens accrédités et ajouts'!E624</f>
        <v>NA</v>
      </c>
      <c r="D611" s="48" t="str">
        <f>'Examens accrédités et ajouts'!F624</f>
        <v xml:space="preserve">Prélèvements génitaux :
vaginal, urétral, anal
</v>
      </c>
      <c r="E611" s="182" t="str">
        <f>'Examens accrédités et ajouts'!Q624</f>
        <v xml:space="preserve">BM PP01 _ NA _ Ecouvillonnage pour examens microbiologiques _  _  _  _ </v>
      </c>
      <c r="F611" s="48" t="str">
        <f>'Examens accrédités et ajouts'!L624</f>
        <v xml:space="preserve">Viskali
Microbiologie : Prélèvements effectués à l'unité de prélèvement (UP) (GEDI 3706)
</v>
      </c>
      <c r="G611" s="48" t="str">
        <f>'Examens accrédités et ajouts'!M624</f>
        <v>extension demandée en novembre 2024</v>
      </c>
    </row>
    <row r="612" spans="1:7" hidden="1" x14ac:dyDescent="0.2">
      <c r="A612" s="48" t="str">
        <f>'Examens accrédités et ajouts'!A625</f>
        <v>HOPITAL CHARLES NICOLLE CHU ROUEN</v>
      </c>
      <c r="B612" s="48" t="str">
        <f>'Examens accrédités et ajouts'!B625</f>
        <v>Biologie de la reproduction</v>
      </c>
      <c r="C612" s="48" t="str">
        <f>'Examens accrédités et ajouts'!E625</f>
        <v>NA</v>
      </c>
      <c r="D612" s="48" t="str">
        <f>'Examens accrédités et ajouts'!F625</f>
        <v>Sperme</v>
      </c>
      <c r="E612" s="182" t="str">
        <f>'Examens accrédités et ajouts'!Q625</f>
        <v xml:space="preserve">BM PP01 _ NA _ Recueil de sperme _  _  _  _ </v>
      </c>
      <c r="F612" s="48" t="str">
        <f>'Examens accrédités et ajouts'!L625</f>
        <v>Viskali
Procédure de recueil du sperme (GEDI 4106)</v>
      </c>
      <c r="G612" s="48" t="str">
        <f>'Examens accrédités et ajouts'!M625</f>
        <v>extension demandée en novembre 2024</v>
      </c>
    </row>
    <row r="613" spans="1:7" hidden="1" x14ac:dyDescent="0.2">
      <c r="A613" s="48" t="str">
        <f>'Examens accrédités et ajouts'!A626</f>
        <v>HOPITAL CHARLES NICOLLE CHU ROUEN</v>
      </c>
      <c r="B613" s="48" t="str">
        <f>'Examens accrédités et ajouts'!B626</f>
        <v>Biologie de la reproduction</v>
      </c>
      <c r="C613" s="48" t="str">
        <f>'Examens accrédités et ajouts'!E626</f>
        <v>NA</v>
      </c>
      <c r="D613" s="48" t="str">
        <f>'Examens accrédités et ajouts'!F626</f>
        <v>Prélèvements gynécologiques</v>
      </c>
      <c r="E613" s="182" t="str">
        <f>'Examens accrédités et ajouts'!Q626</f>
        <v xml:space="preserve">BM PP01 _ NA _ Frottis cervico-vaginal _  _  _  _ </v>
      </c>
      <c r="F613" s="48" t="str">
        <f>'Examens accrédités et ajouts'!L626</f>
        <v xml:space="preserve">Viskali
Microbiologie : Prélèvements effectués à l'unité de prélèvement (UP) (GEDI 3706)
</v>
      </c>
      <c r="G613" s="48" t="str">
        <f>'Examens accrédités et ajouts'!M626</f>
        <v>extension demandée en novembre 2024</v>
      </c>
    </row>
    <row r="614" spans="1:7" hidden="1" x14ac:dyDescent="0.2">
      <c r="A614" s="48" t="str">
        <f>'Examens accrédités et ajouts'!A627</f>
        <v>HOPITAL CHARLES NICOLLE CHU ROUEN</v>
      </c>
      <c r="B614" s="48" t="str">
        <f>'Examens accrédités et ajouts'!B627</f>
        <v xml:space="preserve">Centres de prélèvement 
</v>
      </c>
      <c r="C614" s="48" t="str">
        <f>'Examens accrédités et ajouts'!E627</f>
        <v>NA</v>
      </c>
      <c r="D614" s="48" t="str">
        <f>'Examens accrédités et ajouts'!F627</f>
        <v xml:space="preserve">
Nasopharyngés
Oropharyngés</v>
      </c>
      <c r="E614" s="182" t="str">
        <f>'Examens accrédités et ajouts'!Q627</f>
        <v xml:space="preserve">BM PP01 _ NA _ Ecouvillonnage pour examens microbiologiques _  _  _  _ </v>
      </c>
      <c r="F614" s="48" t="str">
        <f>'Examens accrédités et ajouts'!L627</f>
        <v xml:space="preserve">Viskali
Microbiologie : Prélèvements effectués à l'unité de prélèvement (UP) (GEDI 3706)
</v>
      </c>
      <c r="G614" s="48" t="str">
        <f>'Examens accrédités et ajouts'!M627</f>
        <v>extension demandée en novembre 2024</v>
      </c>
    </row>
    <row r="615" spans="1:7" hidden="1" x14ac:dyDescent="0.2">
      <c r="A615" s="48" t="str">
        <f>'Examens accrédités et ajouts'!A628</f>
        <v>HOPITAL CHARLES NICOLLE CHU ROUEN</v>
      </c>
      <c r="B615" s="48" t="str">
        <f>'Examens accrédités et ajouts'!B628</f>
        <v xml:space="preserve">Centres de prélèvement 
</v>
      </c>
      <c r="C615" s="48" t="str">
        <f>'Examens accrédités et ajouts'!E628</f>
        <v>NA</v>
      </c>
      <c r="D615" s="48" t="str">
        <f>'Examens accrédités et ajouts'!F628</f>
        <v>Peau
Phanères
Tissus cellulaires sous-cutanés</v>
      </c>
      <c r="E615" s="182" t="str">
        <f>'Examens accrédités et ajouts'!Q628</f>
        <v xml:space="preserve">BM PP01 _ NA _ Prélèvement cutané pour examens microbiologiques
Prélèvement des phanères pour examens microbiologiques _  _  _  _ </v>
      </c>
      <c r="F615" s="48" t="str">
        <f>'Examens accrédités et ajouts'!L628</f>
        <v>Viskali
Procédure opératoire de la recherche de sarcopte (gale) (GEDI 1212)
MO prélèvement mycologique</v>
      </c>
      <c r="G615" s="48" t="str">
        <f>'Examens accrédités et ajouts'!M628</f>
        <v>extension demandée en novembre 2024</v>
      </c>
    </row>
    <row r="616" spans="1:7" hidden="1" x14ac:dyDescent="0.2">
      <c r="A616" s="48" t="str">
        <f>'Examens accrédités et ajouts'!A629</f>
        <v>HOPITAL CHARLES NICOLLE CHU ROUEN</v>
      </c>
      <c r="B616" s="48" t="str">
        <f>'Examens accrédités et ajouts'!B629</f>
        <v>Consultation hématologie
Services de soins</v>
      </c>
      <c r="C616" s="48" t="str">
        <f>'Examens accrédités et ajouts'!E629</f>
        <v>NA</v>
      </c>
      <c r="D616" s="48" t="str">
        <f>'Examens accrédités et ajouts'!F629</f>
        <v>Moelle osseuse</v>
      </c>
      <c r="E616" s="182" t="str">
        <f>'Examens accrédités et ajouts'!Q629</f>
        <v xml:space="preserve">BM PP01 _ NA _ Ponction sternale ou iliaque _  _  _  _ </v>
      </c>
      <c r="F616" s="48" t="str">
        <f>'Examens accrédités et ajouts'!L629</f>
        <v>Viskali
Protocole de prélèvement du myélogramme GEDI 1768</v>
      </c>
      <c r="G616" s="48" t="str">
        <f>'Examens accrédités et ajouts'!M629</f>
        <v>extension demandée en novembre 2024</v>
      </c>
    </row>
    <row r="617" spans="1:7" hidden="1" x14ac:dyDescent="0.2">
      <c r="A617" s="48">
        <f>'Examens accrédités et ajouts'!A630</f>
        <v>0</v>
      </c>
      <c r="B617" s="48">
        <f>'Examens accrédités et ajouts'!B630</f>
        <v>0</v>
      </c>
      <c r="C617" s="48">
        <f>'Examens accrédités et ajouts'!E630</f>
        <v>0</v>
      </c>
      <c r="D617" s="48">
        <f>'Examens accrédités et ajouts'!F630</f>
        <v>0</v>
      </c>
      <c r="E617" s="182" t="str">
        <f>'Examens accrédités et ajouts'!Q630</f>
        <v xml:space="preserve"> _  _  _  _  _  _ </v>
      </c>
      <c r="F617" s="48">
        <f>'Examens accrédités et ajouts'!L630</f>
        <v>0</v>
      </c>
      <c r="G617" s="48">
        <f>'Examens accrédités et ajouts'!M630</f>
        <v>0</v>
      </c>
    </row>
    <row r="618" spans="1:7" hidden="1" x14ac:dyDescent="0.2">
      <c r="A618" s="48">
        <f>'Examens accrédités et ajouts'!A630</f>
        <v>0</v>
      </c>
      <c r="B618" s="48">
        <f>'Examens accrédités et ajouts'!B630</f>
        <v>0</v>
      </c>
      <c r="C618" s="48">
        <f>'Examens accrédités et ajouts'!E630</f>
        <v>0</v>
      </c>
      <c r="D618" s="48">
        <f>'Examens accrédités et ajouts'!F630</f>
        <v>0</v>
      </c>
      <c r="E618" s="182" t="str">
        <f>'Examens accrédités et ajouts'!Q630</f>
        <v xml:space="preserve"> _  _  _  _  _  _ </v>
      </c>
      <c r="F618" s="48">
        <f>'Examens accrédités et ajouts'!L630</f>
        <v>0</v>
      </c>
      <c r="G618" s="48">
        <f>'Examens accrédités et ajouts'!M630</f>
        <v>0</v>
      </c>
    </row>
    <row r="619" spans="1:7" hidden="1" x14ac:dyDescent="0.2">
      <c r="A619" s="48">
        <f>'Examens accrédités et ajouts'!A631</f>
        <v>0</v>
      </c>
      <c r="B619" s="48">
        <f>'Examens accrédités et ajouts'!B631</f>
        <v>0</v>
      </c>
      <c r="C619" s="48">
        <f>'Examens accrédités et ajouts'!E631</f>
        <v>0</v>
      </c>
      <c r="D619" s="48">
        <f>'Examens accrédités et ajouts'!F631</f>
        <v>0</v>
      </c>
      <c r="E619" s="182" t="str">
        <f>'Examens accrédités et ajouts'!Q631</f>
        <v xml:space="preserve"> _  _  _  _  _  _ </v>
      </c>
      <c r="F619" s="48">
        <f>'Examens accrédités et ajouts'!L631</f>
        <v>0</v>
      </c>
      <c r="G619" s="48">
        <f>'Examens accrédités et ajouts'!M631</f>
        <v>0</v>
      </c>
    </row>
    <row r="620" spans="1:7" hidden="1" x14ac:dyDescent="0.2">
      <c r="A620" s="48">
        <f>'Examens accrédités et ajouts'!A632</f>
        <v>0</v>
      </c>
      <c r="B620" s="48">
        <f>'Examens accrédités et ajouts'!B632</f>
        <v>0</v>
      </c>
      <c r="C620" s="48">
        <f>'Examens accrédités et ajouts'!E632</f>
        <v>0</v>
      </c>
      <c r="D620" s="48">
        <f>'Examens accrédités et ajouts'!F632</f>
        <v>0</v>
      </c>
      <c r="E620" s="182">
        <f>'Examens accrédités et ajouts'!Q632</f>
        <v>0</v>
      </c>
      <c r="F620" s="48">
        <f>'Examens accrédités et ajouts'!L632</f>
        <v>0</v>
      </c>
      <c r="G620" s="48">
        <f>'Examens accrédités et ajouts'!M632</f>
        <v>0</v>
      </c>
    </row>
    <row r="621" spans="1:7" hidden="1" x14ac:dyDescent="0.2">
      <c r="A621" s="48">
        <f>'Examens accrédités et ajouts'!A633</f>
        <v>0</v>
      </c>
      <c r="B621" s="48">
        <f>'Examens accrédités et ajouts'!B633</f>
        <v>0</v>
      </c>
      <c r="C621" s="48">
        <f>'Examens accrédités et ajouts'!E633</f>
        <v>0</v>
      </c>
      <c r="D621" s="48">
        <f>'Examens accrédités et ajouts'!F633</f>
        <v>0</v>
      </c>
      <c r="E621" s="182">
        <f>'Examens accrédités et ajouts'!Q633</f>
        <v>0</v>
      </c>
      <c r="F621" s="48">
        <f>'Examens accrédités et ajouts'!L633</f>
        <v>0</v>
      </c>
      <c r="G621" s="48">
        <f>'Examens accrédités et ajouts'!M633</f>
        <v>0</v>
      </c>
    </row>
    <row r="622" spans="1:7" hidden="1" x14ac:dyDescent="0.2">
      <c r="A622" s="48">
        <f>'Examens accrédités et ajouts'!A634</f>
        <v>0</v>
      </c>
      <c r="B622" s="48">
        <f>'Examens accrédités et ajouts'!B634</f>
        <v>0</v>
      </c>
      <c r="C622" s="48">
        <f>'Examens accrédités et ajouts'!E634</f>
        <v>0</v>
      </c>
      <c r="D622" s="48">
        <f>'Examens accrédités et ajouts'!F634</f>
        <v>0</v>
      </c>
      <c r="E622" s="182">
        <f>'Examens accrédités et ajouts'!Q634</f>
        <v>0</v>
      </c>
      <c r="F622" s="48">
        <f>'Examens accrédités et ajouts'!L634</f>
        <v>0</v>
      </c>
      <c r="G622" s="48">
        <f>'Examens accrédités et ajouts'!M634</f>
        <v>0</v>
      </c>
    </row>
    <row r="623" spans="1:7" hidden="1" x14ac:dyDescent="0.2">
      <c r="A623" s="48">
        <f>'Examens accrédités et ajouts'!A635</f>
        <v>0</v>
      </c>
      <c r="B623" s="48">
        <f>'Examens accrédités et ajouts'!B635</f>
        <v>0</v>
      </c>
      <c r="C623" s="48">
        <f>'Examens accrédités et ajouts'!E635</f>
        <v>0</v>
      </c>
      <c r="D623" s="48">
        <f>'Examens accrédités et ajouts'!F635</f>
        <v>0</v>
      </c>
      <c r="E623" s="182">
        <f>'Examens accrédités et ajouts'!Q635</f>
        <v>0</v>
      </c>
      <c r="F623" s="48">
        <f>'Examens accrédités et ajouts'!L635</f>
        <v>0</v>
      </c>
      <c r="G623" s="48">
        <f>'Examens accrédités et ajouts'!M635</f>
        <v>0</v>
      </c>
    </row>
    <row r="624" spans="1:7" hidden="1" x14ac:dyDescent="0.2">
      <c r="A624" s="48">
        <f>'Examens accrédités et ajouts'!A636</f>
        <v>0</v>
      </c>
      <c r="B624" s="48">
        <f>'Examens accrédités et ajouts'!B636</f>
        <v>0</v>
      </c>
      <c r="C624" s="48">
        <f>'Examens accrédités et ajouts'!E636</f>
        <v>0</v>
      </c>
      <c r="D624" s="48">
        <f>'Examens accrédités et ajouts'!F636</f>
        <v>0</v>
      </c>
      <c r="E624" s="182" t="str">
        <f>'Examens accrédités et ajouts'!Q636</f>
        <v xml:space="preserve">% activité  _  _  _  _  _  _ </v>
      </c>
      <c r="F624" s="48">
        <f>'Examens accrédités et ajouts'!L636</f>
        <v>0</v>
      </c>
      <c r="G624" s="48">
        <f>'Examens accrédités et ajouts'!M636</f>
        <v>0</v>
      </c>
    </row>
    <row r="625" spans="1:7" hidden="1" x14ac:dyDescent="0.2">
      <c r="A625" s="48">
        <f>'Examens accrédités et ajouts'!A637</f>
        <v>0</v>
      </c>
      <c r="B625" s="48">
        <f>'Examens accrédités et ajouts'!B637</f>
        <v>0</v>
      </c>
      <c r="C625" s="48">
        <f>'Examens accrédités et ajouts'!E637</f>
        <v>0</v>
      </c>
      <c r="D625" s="48">
        <f>'Examens accrédités et ajouts'!F637</f>
        <v>0</v>
      </c>
      <c r="E625" s="182">
        <f>'Examens accrédités et ajouts'!Q637</f>
        <v>0</v>
      </c>
      <c r="F625" s="48">
        <f>'Examens accrédités et ajouts'!L637</f>
        <v>0</v>
      </c>
      <c r="G625" s="48">
        <f>'Examens accrédités et ajouts'!M637</f>
        <v>0</v>
      </c>
    </row>
    <row r="626" spans="1:7" hidden="1" x14ac:dyDescent="0.2">
      <c r="A626" s="48" t="str">
        <f>'Examens accrédités et ajouts'!A638</f>
        <v>HOPITAL CHARLES NICOLLE CHU ROUEN</v>
      </c>
      <c r="B626" s="48" t="str">
        <f>'Examens accrédités et ajouts'!B638</f>
        <v xml:space="preserve">Centres de prélèvement 
</v>
      </c>
      <c r="C626" s="48" t="str">
        <f>'Examens accrédités et ajouts'!E638</f>
        <v>NA</v>
      </c>
      <c r="D626" s="48" t="str">
        <f>'Examens accrédités et ajouts'!F638</f>
        <v>Peau
Phanères
Tissus cellulaires sous-cutanés</v>
      </c>
      <c r="E626" s="182" t="str">
        <f>'Examens accrédités et ajouts'!Q638</f>
        <v xml:space="preserve">BM PP01 _ NA _ Prélèvement cutané pour examens microbiologiques
Prélèvement des phanères pour examens microbiologiques _  _  _  _ </v>
      </c>
      <c r="F626" s="48" t="str">
        <f>'Examens accrédités et ajouts'!L638</f>
        <v>Viskali
Procédure opératoire de la recherche de sarcopte (gale) (GEDI 1212)
MO prélèvement mycologique</v>
      </c>
      <c r="G626" s="48" t="str">
        <f>'Examens accrédités et ajouts'!M638</f>
        <v>extension demandée en novembre 2024</v>
      </c>
    </row>
    <row r="627" spans="1:7" hidden="1" x14ac:dyDescent="0.2">
      <c r="A627" s="48" t="str">
        <f>'Examens accrédités et ajouts'!A639</f>
        <v>HOPITAL CHARLES NICOLLE CHU ROUEN</v>
      </c>
      <c r="B627" s="48" t="str">
        <f>'Examens accrédités et ajouts'!B639</f>
        <v>Consultation hématologie
Services de soins</v>
      </c>
      <c r="C627" s="48" t="str">
        <f>'Examens accrédités et ajouts'!E639</f>
        <v>NA</v>
      </c>
      <c r="D627" s="48" t="str">
        <f>'Examens accrédités et ajouts'!F639</f>
        <v>Moelle osseuse</v>
      </c>
      <c r="E627" s="182" t="str">
        <f>'Examens accrédités et ajouts'!Q639</f>
        <v xml:space="preserve">BM PP01 _ NA _ Ponction sternale ou iliaque _  _  _  _ </v>
      </c>
      <c r="F627" s="48" t="str">
        <f>'Examens accrédités et ajouts'!L639</f>
        <v>Viskali
Protocole de prélèvement du myélogramme GEDI 1768</v>
      </c>
      <c r="G627" s="48" t="str">
        <f>'Examens accrédités et ajouts'!M639</f>
        <v>extension demandée en novembre 2024</v>
      </c>
    </row>
    <row r="628" spans="1:7" hidden="1" x14ac:dyDescent="0.2">
      <c r="A628" s="48">
        <f>'Examens accrédités et ajouts'!A640</f>
        <v>0</v>
      </c>
      <c r="B628" s="48">
        <f>'Examens accrédités et ajouts'!B640</f>
        <v>0</v>
      </c>
      <c r="C628" s="48">
        <f>'Examens accrédités et ajouts'!E640</f>
        <v>0</v>
      </c>
      <c r="D628" s="48">
        <f>'Examens accrédités et ajouts'!F640</f>
        <v>0</v>
      </c>
      <c r="E628" s="182">
        <f>'Examens accrédités et ajouts'!Q640</f>
        <v>0</v>
      </c>
      <c r="F628" s="48">
        <f>'Examens accrédités et ajouts'!L640</f>
        <v>0</v>
      </c>
      <c r="G628" s="48">
        <f>'Examens accrédités et ajouts'!M640</f>
        <v>0</v>
      </c>
    </row>
    <row r="629" spans="1:7" hidden="1" x14ac:dyDescent="0.2">
      <c r="A629" s="48">
        <f>'Examens accrédités et ajouts'!A641</f>
        <v>0</v>
      </c>
      <c r="B629" s="48">
        <f>'Examens accrédités et ajouts'!B641</f>
        <v>0</v>
      </c>
      <c r="C629" s="48">
        <f>'Examens accrédités et ajouts'!E641</f>
        <v>0</v>
      </c>
      <c r="D629" s="48">
        <f>'Examens accrédités et ajouts'!F641</f>
        <v>0</v>
      </c>
      <c r="E629" s="182">
        <f>'Examens accrédités et ajouts'!Q641</f>
        <v>0</v>
      </c>
      <c r="F629" s="48">
        <f>'Examens accrédités et ajouts'!L641</f>
        <v>0</v>
      </c>
      <c r="G629" s="48">
        <f>'Examens accrédités et ajouts'!M641</f>
        <v>0</v>
      </c>
    </row>
    <row r="630" spans="1:7" hidden="1" x14ac:dyDescent="0.2">
      <c r="A630" s="48">
        <f>'Examens accrédités et ajouts'!A642</f>
        <v>0</v>
      </c>
      <c r="B630" s="48">
        <f>'Examens accrédités et ajouts'!B642</f>
        <v>0</v>
      </c>
      <c r="C630" s="48">
        <f>'Examens accrédités et ajouts'!E642</f>
        <v>0</v>
      </c>
      <c r="D630" s="48">
        <f>'Examens accrédités et ajouts'!F642</f>
        <v>0</v>
      </c>
      <c r="E630" s="182">
        <f>'Examens accrédités et ajouts'!Q642</f>
        <v>0</v>
      </c>
      <c r="F630" s="48">
        <f>'Examens accrédités et ajouts'!L642</f>
        <v>0</v>
      </c>
      <c r="G630" s="48">
        <f>'Examens accrédités et ajouts'!M642</f>
        <v>0</v>
      </c>
    </row>
    <row r="631" spans="1:7" hidden="1" x14ac:dyDescent="0.2">
      <c r="A631" s="48">
        <f>'Examens accrédités et ajouts'!A643</f>
        <v>0</v>
      </c>
      <c r="B631" s="48">
        <f>'Examens accrédités et ajouts'!B643</f>
        <v>0</v>
      </c>
      <c r="C631" s="48">
        <f>'Examens accrédités et ajouts'!E643</f>
        <v>0</v>
      </c>
      <c r="D631" s="48">
        <f>'Examens accrédités et ajouts'!F643</f>
        <v>0</v>
      </c>
      <c r="E631" s="182">
        <f>'Examens accrédités et ajouts'!Q643</f>
        <v>0</v>
      </c>
      <c r="F631" s="48">
        <f>'Examens accrédités et ajouts'!L643</f>
        <v>0</v>
      </c>
      <c r="G631" s="48">
        <f>'Examens accrédités et ajouts'!M643</f>
        <v>0</v>
      </c>
    </row>
    <row r="632" spans="1:7" hidden="1" x14ac:dyDescent="0.2">
      <c r="A632" s="48">
        <f>'Examens accrédités et ajouts'!A644</f>
        <v>0</v>
      </c>
      <c r="B632" s="48">
        <f>'Examens accrédités et ajouts'!B644</f>
        <v>0</v>
      </c>
      <c r="C632" s="48">
        <f>'Examens accrédités et ajouts'!E644</f>
        <v>0</v>
      </c>
      <c r="D632" s="48">
        <f>'Examens accrédités et ajouts'!F644</f>
        <v>0</v>
      </c>
      <c r="E632" s="182" t="str">
        <f>'Examens accrédités et ajouts'!Q644</f>
        <v xml:space="preserve">% activité  _  _  _  _  _  _ </v>
      </c>
      <c r="F632" s="48">
        <f>'Examens accrédités et ajouts'!L644</f>
        <v>0</v>
      </c>
      <c r="G632" s="48">
        <f>'Examens accrédités et ajouts'!M644</f>
        <v>0</v>
      </c>
    </row>
    <row r="633" spans="1:7" hidden="1" x14ac:dyDescent="0.2">
      <c r="A633" s="48">
        <f>'Examens accrédités et ajouts'!A645</f>
        <v>0</v>
      </c>
      <c r="B633" s="48">
        <f>'Examens accrédités et ajouts'!B645</f>
        <v>0</v>
      </c>
      <c r="C633" s="48">
        <f>'Examens accrédités et ajouts'!E645</f>
        <v>0</v>
      </c>
      <c r="D633" s="48">
        <f>'Examens accrédités et ajouts'!F645</f>
        <v>0</v>
      </c>
      <c r="E633" s="182">
        <f>'Examens accrédités et ajouts'!Q645</f>
        <v>0</v>
      </c>
      <c r="F633" s="48">
        <f>'Examens accrédités et ajouts'!L645</f>
        <v>0</v>
      </c>
      <c r="G633" s="48">
        <f>'Examens accrédités et ajouts'!M645</f>
        <v>0</v>
      </c>
    </row>
    <row r="634" spans="1:7" hidden="1" x14ac:dyDescent="0.2">
      <c r="A634" s="48">
        <f>'Examens accrédités et ajouts'!A646</f>
        <v>0</v>
      </c>
      <c r="B634" s="48">
        <f>'Examens accrédités et ajouts'!B646</f>
        <v>0</v>
      </c>
      <c r="C634" s="48">
        <f>'Examens accrédités et ajouts'!E646</f>
        <v>0</v>
      </c>
      <c r="D634" s="48">
        <f>'Examens accrédités et ajouts'!F646</f>
        <v>0</v>
      </c>
      <c r="E634" s="182">
        <f>'Examens accrédités et ajouts'!Q646</f>
        <v>0</v>
      </c>
      <c r="F634" s="48">
        <f>'Examens accrédités et ajouts'!L646</f>
        <v>0</v>
      </c>
      <c r="G634" s="48">
        <f>'Examens accrédités et ajouts'!M646</f>
        <v>0</v>
      </c>
    </row>
    <row r="635" spans="1:7" hidden="1" x14ac:dyDescent="0.2">
      <c r="A635" s="48">
        <f>'Examens accrédités et ajouts'!A647</f>
        <v>0</v>
      </c>
      <c r="B635" s="48">
        <f>'Examens accrédités et ajouts'!B647</f>
        <v>0</v>
      </c>
      <c r="C635" s="48">
        <f>'Examens accrédités et ajouts'!E647</f>
        <v>0</v>
      </c>
      <c r="D635" s="48">
        <f>'Examens accrédités et ajouts'!F647</f>
        <v>0</v>
      </c>
      <c r="E635" s="182">
        <f>'Examens accrédités et ajouts'!Q647</f>
        <v>0</v>
      </c>
      <c r="F635" s="48">
        <f>'Examens accrédités et ajouts'!L647</f>
        <v>0</v>
      </c>
      <c r="G635" s="48">
        <f>'Examens accrédités et ajouts'!M647</f>
        <v>0</v>
      </c>
    </row>
    <row r="636" spans="1:7" hidden="1" x14ac:dyDescent="0.2">
      <c r="A636" s="48">
        <f>'Examens accrédités et ajouts'!A648</f>
        <v>0</v>
      </c>
      <c r="B636" s="48">
        <f>'Examens accrédités et ajouts'!B648</f>
        <v>0</v>
      </c>
      <c r="C636" s="48">
        <f>'Examens accrédités et ajouts'!E648</f>
        <v>0</v>
      </c>
      <c r="D636" s="48">
        <f>'Examens accrédités et ajouts'!F648</f>
        <v>0</v>
      </c>
      <c r="E636" s="182">
        <f>'Examens accrédités et ajouts'!Q648</f>
        <v>0</v>
      </c>
      <c r="F636" s="48">
        <f>'Examens accrédités et ajouts'!L648</f>
        <v>0</v>
      </c>
      <c r="G636" s="48">
        <f>'Examens accrédités et ajouts'!M648</f>
        <v>0</v>
      </c>
    </row>
    <row r="637" spans="1:7" hidden="1" x14ac:dyDescent="0.2">
      <c r="A637" s="48">
        <f>'Examens accrédités et ajouts'!A649</f>
        <v>0</v>
      </c>
      <c r="B637" s="48">
        <f>'Examens accrédités et ajouts'!B649</f>
        <v>0</v>
      </c>
      <c r="C637" s="48">
        <f>'Examens accrédités et ajouts'!E649</f>
        <v>0</v>
      </c>
      <c r="D637" s="48">
        <f>'Examens accrédités et ajouts'!F649</f>
        <v>0</v>
      </c>
      <c r="E637" s="182">
        <f>'Examens accrédités et ajouts'!Q649</f>
        <v>0</v>
      </c>
      <c r="F637" s="48">
        <f>'Examens accrédités et ajouts'!L649</f>
        <v>0</v>
      </c>
      <c r="G637" s="48">
        <f>'Examens accrédités et ajouts'!M649</f>
        <v>0</v>
      </c>
    </row>
    <row r="638" spans="1:7" hidden="1" x14ac:dyDescent="0.2">
      <c r="A638" s="48">
        <f>'Examens accrédités et ajouts'!A650</f>
        <v>0</v>
      </c>
      <c r="B638" s="48">
        <f>'Examens accrédités et ajouts'!B650</f>
        <v>0</v>
      </c>
      <c r="C638" s="48">
        <f>'Examens accrédités et ajouts'!E650</f>
        <v>0</v>
      </c>
      <c r="D638" s="48">
        <f>'Examens accrédités et ajouts'!F650</f>
        <v>0</v>
      </c>
      <c r="E638" s="182">
        <f>'Examens accrédités et ajouts'!Q650</f>
        <v>0</v>
      </c>
      <c r="F638" s="48">
        <f>'Examens accrédités et ajouts'!L650</f>
        <v>0</v>
      </c>
      <c r="G638" s="48">
        <f>'Examens accrédités et ajouts'!M650</f>
        <v>0</v>
      </c>
    </row>
    <row r="639" spans="1:7" hidden="1" x14ac:dyDescent="0.2">
      <c r="A639" s="48">
        <f>'Examens accrédités et ajouts'!A651</f>
        <v>0</v>
      </c>
      <c r="B639" s="48">
        <f>'Examens accrédités et ajouts'!B651</f>
        <v>0</v>
      </c>
      <c r="C639" s="48">
        <f>'Examens accrédités et ajouts'!E651</f>
        <v>0</v>
      </c>
      <c r="D639" s="48">
        <f>'Examens accrédités et ajouts'!F651</f>
        <v>0</v>
      </c>
      <c r="E639" s="182">
        <f>'Examens accrédités et ajouts'!Q651</f>
        <v>0</v>
      </c>
      <c r="F639" s="48">
        <f>'Examens accrédités et ajouts'!L651</f>
        <v>0</v>
      </c>
      <c r="G639" s="48">
        <f>'Examens accrédités et ajouts'!M651</f>
        <v>0</v>
      </c>
    </row>
    <row r="640" spans="1:7" hidden="1" x14ac:dyDescent="0.2">
      <c r="A640" s="48">
        <f>'Examens accrédités et ajouts'!A652</f>
        <v>0</v>
      </c>
      <c r="B640" s="48">
        <f>'Examens accrédités et ajouts'!B652</f>
        <v>0</v>
      </c>
      <c r="C640" s="48">
        <f>'Examens accrédités et ajouts'!E652</f>
        <v>0</v>
      </c>
      <c r="D640" s="48">
        <f>'Examens accrédités et ajouts'!F652</f>
        <v>0</v>
      </c>
      <c r="E640" s="182">
        <f>'Examens accrédités et ajouts'!Q652</f>
        <v>0</v>
      </c>
      <c r="F640" s="48">
        <f>'Examens accrédités et ajouts'!L652</f>
        <v>0</v>
      </c>
      <c r="G640" s="48">
        <f>'Examens accrédités et ajouts'!M652</f>
        <v>0</v>
      </c>
    </row>
    <row r="641" spans="1:7" hidden="1" x14ac:dyDescent="0.2">
      <c r="A641" s="48">
        <f>'Examens accrédités et ajouts'!A653</f>
        <v>0</v>
      </c>
      <c r="B641" s="48">
        <f>'Examens accrédités et ajouts'!B653</f>
        <v>0</v>
      </c>
      <c r="C641" s="48">
        <f>'Examens accrédités et ajouts'!E653</f>
        <v>0</v>
      </c>
      <c r="D641" s="48">
        <f>'Examens accrédités et ajouts'!F653</f>
        <v>0</v>
      </c>
      <c r="E641" s="182">
        <f>'Examens accrédités et ajouts'!Q653</f>
        <v>0</v>
      </c>
      <c r="F641" s="48">
        <f>'Examens accrédités et ajouts'!L653</f>
        <v>0</v>
      </c>
      <c r="G641" s="48">
        <f>'Examens accrédités et ajouts'!M653</f>
        <v>0</v>
      </c>
    </row>
    <row r="642" spans="1:7" hidden="1" x14ac:dyDescent="0.2">
      <c r="A642" s="48">
        <f>'Examens accrédités et ajouts'!A654</f>
        <v>0</v>
      </c>
      <c r="B642" s="48">
        <f>'Examens accrédités et ajouts'!B654</f>
        <v>0</v>
      </c>
      <c r="C642" s="48">
        <f>'Examens accrédités et ajouts'!E654</f>
        <v>0</v>
      </c>
      <c r="D642" s="48">
        <f>'Examens accrédités et ajouts'!F654</f>
        <v>0</v>
      </c>
      <c r="E642" s="182">
        <f>'Examens accrédités et ajouts'!Q654</f>
        <v>0</v>
      </c>
      <c r="F642" s="48">
        <f>'Examens accrédités et ajouts'!L654</f>
        <v>0</v>
      </c>
      <c r="G642" s="48">
        <f>'Examens accrédités et ajouts'!M654</f>
        <v>0</v>
      </c>
    </row>
    <row r="643" spans="1:7" hidden="1" x14ac:dyDescent="0.2">
      <c r="A643" s="48">
        <f>'Examens accrédités et ajouts'!A655</f>
        <v>0</v>
      </c>
      <c r="B643" s="48">
        <f>'Examens accrédités et ajouts'!B655</f>
        <v>0</v>
      </c>
      <c r="C643" s="48">
        <f>'Examens accrédités et ajouts'!E655</f>
        <v>0</v>
      </c>
      <c r="D643" s="48">
        <f>'Examens accrédités et ajouts'!F655</f>
        <v>0</v>
      </c>
      <c r="E643" s="182">
        <f>'Examens accrédités et ajouts'!Q655</f>
        <v>0</v>
      </c>
      <c r="F643" s="48">
        <f>'Examens accrédités et ajouts'!L655</f>
        <v>0</v>
      </c>
      <c r="G643" s="48">
        <f>'Examens accrédités et ajouts'!M655</f>
        <v>0</v>
      </c>
    </row>
    <row r="644" spans="1:7" hidden="1" x14ac:dyDescent="0.2">
      <c r="A644" s="48">
        <f>'Examens accrédités et ajouts'!A656</f>
        <v>0</v>
      </c>
      <c r="B644" s="48">
        <f>'Examens accrédités et ajouts'!B656</f>
        <v>0</v>
      </c>
      <c r="C644" s="48">
        <f>'Examens accrédités et ajouts'!E656</f>
        <v>0</v>
      </c>
      <c r="D644" s="48">
        <f>'Examens accrédités et ajouts'!F656</f>
        <v>0</v>
      </c>
      <c r="E644" s="182">
        <f>'Examens accrédités et ajouts'!Q656</f>
        <v>0</v>
      </c>
      <c r="F644" s="48">
        <f>'Examens accrédités et ajouts'!L656</f>
        <v>0</v>
      </c>
      <c r="G644" s="48">
        <f>'Examens accrédités et ajouts'!M656</f>
        <v>0</v>
      </c>
    </row>
    <row r="645" spans="1:7" hidden="1" x14ac:dyDescent="0.2">
      <c r="A645" s="48">
        <f>'Examens accrédités et ajouts'!A657</f>
        <v>0</v>
      </c>
      <c r="B645" s="48">
        <f>'Examens accrédités et ajouts'!B657</f>
        <v>0</v>
      </c>
      <c r="C645" s="48">
        <f>'Examens accrédités et ajouts'!E657</f>
        <v>0</v>
      </c>
      <c r="D645" s="48">
        <f>'Examens accrédités et ajouts'!F657</f>
        <v>0</v>
      </c>
      <c r="E645" s="182">
        <f>'Examens accrédités et ajouts'!Q657</f>
        <v>0</v>
      </c>
      <c r="F645" s="48">
        <f>'Examens accrédités et ajouts'!L657</f>
        <v>0</v>
      </c>
      <c r="G645" s="48">
        <f>'Examens accrédités et ajouts'!M657</f>
        <v>0</v>
      </c>
    </row>
    <row r="646" spans="1:7" hidden="1" x14ac:dyDescent="0.2">
      <c r="A646" s="48">
        <f>'Examens accrédités et ajouts'!A658</f>
        <v>0</v>
      </c>
      <c r="B646" s="48">
        <f>'Examens accrédités et ajouts'!B658</f>
        <v>0</v>
      </c>
      <c r="C646" s="48">
        <f>'Examens accrédités et ajouts'!E658</f>
        <v>0</v>
      </c>
      <c r="D646" s="48">
        <f>'Examens accrédités et ajouts'!F658</f>
        <v>0</v>
      </c>
      <c r="E646" s="182">
        <f>'Examens accrédités et ajouts'!Q658</f>
        <v>0</v>
      </c>
      <c r="F646" s="48">
        <f>'Examens accrédités et ajouts'!L658</f>
        <v>0</v>
      </c>
      <c r="G646" s="48">
        <f>'Examens accrédités et ajouts'!M658</f>
        <v>0</v>
      </c>
    </row>
    <row r="647" spans="1:7" hidden="1" x14ac:dyDescent="0.2">
      <c r="A647" s="48">
        <f>'Examens accrédités et ajouts'!A659</f>
        <v>0</v>
      </c>
      <c r="B647" s="48">
        <f>'Examens accrédités et ajouts'!B659</f>
        <v>0</v>
      </c>
      <c r="C647" s="48">
        <f>'Examens accrédités et ajouts'!E659</f>
        <v>0</v>
      </c>
      <c r="D647" s="48">
        <f>'Examens accrédités et ajouts'!F659</f>
        <v>0</v>
      </c>
      <c r="E647" s="182">
        <f>'Examens accrédités et ajouts'!Q659</f>
        <v>0</v>
      </c>
      <c r="F647" s="48">
        <f>'Examens accrédités et ajouts'!L659</f>
        <v>0</v>
      </c>
      <c r="G647" s="48">
        <f>'Examens accrédités et ajouts'!M659</f>
        <v>0</v>
      </c>
    </row>
    <row r="648" spans="1:7" hidden="1" x14ac:dyDescent="0.2">
      <c r="A648" s="48">
        <f>'Examens accrédités et ajouts'!A660</f>
        <v>0</v>
      </c>
      <c r="B648" s="48">
        <f>'Examens accrédités et ajouts'!B660</f>
        <v>0</v>
      </c>
      <c r="C648" s="48">
        <f>'Examens accrédités et ajouts'!E660</f>
        <v>0</v>
      </c>
      <c r="D648" s="48">
        <f>'Examens accrédités et ajouts'!F660</f>
        <v>0</v>
      </c>
      <c r="E648" s="182">
        <f>'Examens accrédités et ajouts'!Q660</f>
        <v>0</v>
      </c>
      <c r="F648" s="48">
        <f>'Examens accrédités et ajouts'!L660</f>
        <v>0</v>
      </c>
      <c r="G648" s="48">
        <f>'Examens accrédités et ajouts'!M660</f>
        <v>0</v>
      </c>
    </row>
    <row r="649" spans="1:7" hidden="1" x14ac:dyDescent="0.2">
      <c r="A649" s="48">
        <f>'Examens accrédités et ajouts'!A661</f>
        <v>0</v>
      </c>
      <c r="B649" s="48">
        <f>'Examens accrédités et ajouts'!B661</f>
        <v>0</v>
      </c>
      <c r="C649" s="48">
        <f>'Examens accrédités et ajouts'!E661</f>
        <v>0</v>
      </c>
      <c r="D649" s="48">
        <f>'Examens accrédités et ajouts'!F661</f>
        <v>0</v>
      </c>
      <c r="E649" s="182">
        <f>'Examens accrédités et ajouts'!Q661</f>
        <v>0</v>
      </c>
      <c r="F649" s="48">
        <f>'Examens accrédités et ajouts'!L661</f>
        <v>0</v>
      </c>
      <c r="G649" s="48">
        <f>'Examens accrédités et ajouts'!M661</f>
        <v>0</v>
      </c>
    </row>
    <row r="650" spans="1:7" hidden="1" x14ac:dyDescent="0.2">
      <c r="A650" s="48">
        <f>'Examens accrédités et ajouts'!A662</f>
        <v>0</v>
      </c>
      <c r="B650" s="48">
        <f>'Examens accrédités et ajouts'!B662</f>
        <v>0</v>
      </c>
      <c r="C650" s="48">
        <f>'Examens accrédités et ajouts'!E662</f>
        <v>0</v>
      </c>
      <c r="D650" s="48">
        <f>'Examens accrédités et ajouts'!F662</f>
        <v>0</v>
      </c>
      <c r="E650" s="182">
        <f>'Examens accrédités et ajouts'!Q662</f>
        <v>0</v>
      </c>
      <c r="F650" s="48">
        <f>'Examens accrédités et ajouts'!L662</f>
        <v>0</v>
      </c>
      <c r="G650" s="48">
        <f>'Examens accrédités et ajouts'!M662</f>
        <v>0</v>
      </c>
    </row>
    <row r="651" spans="1:7" hidden="1" x14ac:dyDescent="0.2">
      <c r="A651" s="48">
        <f>'Examens accrédités et ajouts'!A663</f>
        <v>0</v>
      </c>
      <c r="B651" s="48">
        <f>'Examens accrédités et ajouts'!B663</f>
        <v>0</v>
      </c>
      <c r="C651" s="48">
        <f>'Examens accrédités et ajouts'!E663</f>
        <v>0</v>
      </c>
      <c r="D651" s="48">
        <f>'Examens accrédités et ajouts'!F663</f>
        <v>0</v>
      </c>
      <c r="E651" s="182">
        <f>'Examens accrédités et ajouts'!Q663</f>
        <v>0</v>
      </c>
      <c r="F651" s="48">
        <f>'Examens accrédités et ajouts'!L663</f>
        <v>0</v>
      </c>
      <c r="G651" s="48">
        <f>'Examens accrédités et ajouts'!M663</f>
        <v>0</v>
      </c>
    </row>
    <row r="652" spans="1:7" hidden="1" x14ac:dyDescent="0.2">
      <c r="A652" s="48">
        <f>'Examens accrédités et ajouts'!A664</f>
        <v>0</v>
      </c>
      <c r="B652" s="48">
        <f>'Examens accrédités et ajouts'!B664</f>
        <v>0</v>
      </c>
      <c r="C652" s="48">
        <f>'Examens accrédités et ajouts'!E664</f>
        <v>0</v>
      </c>
      <c r="D652" s="48">
        <f>'Examens accrédités et ajouts'!F664</f>
        <v>0</v>
      </c>
      <c r="E652" s="182">
        <f>'Examens accrédités et ajouts'!Q664</f>
        <v>0</v>
      </c>
      <c r="F652" s="48">
        <f>'Examens accrédités et ajouts'!L664</f>
        <v>0</v>
      </c>
      <c r="G652" s="48">
        <f>'Examens accrédités et ajouts'!M664</f>
        <v>0</v>
      </c>
    </row>
    <row r="653" spans="1:7" hidden="1" x14ac:dyDescent="0.2">
      <c r="A653" s="48">
        <f>'Examens accrédités et ajouts'!A665</f>
        <v>0</v>
      </c>
      <c r="B653" s="48">
        <f>'Examens accrédités et ajouts'!B665</f>
        <v>0</v>
      </c>
      <c r="C653" s="48">
        <f>'Examens accrédités et ajouts'!E665</f>
        <v>0</v>
      </c>
      <c r="D653" s="48">
        <f>'Examens accrédités et ajouts'!F665</f>
        <v>0</v>
      </c>
      <c r="E653" s="182">
        <f>'Examens accrédités et ajouts'!Q665</f>
        <v>0</v>
      </c>
      <c r="F653" s="48">
        <f>'Examens accrédités et ajouts'!L665</f>
        <v>0</v>
      </c>
      <c r="G653" s="48">
        <f>'Examens accrédités et ajouts'!M665</f>
        <v>0</v>
      </c>
    </row>
    <row r="654" spans="1:7" hidden="1" x14ac:dyDescent="0.2">
      <c r="A654" s="48">
        <f>'Examens accrédités et ajouts'!A666</f>
        <v>0</v>
      </c>
      <c r="B654" s="48">
        <f>'Examens accrédités et ajouts'!B666</f>
        <v>0</v>
      </c>
      <c r="C654" s="48">
        <f>'Examens accrédités et ajouts'!E666</f>
        <v>0</v>
      </c>
      <c r="D654" s="48">
        <f>'Examens accrédités et ajouts'!F666</f>
        <v>0</v>
      </c>
      <c r="E654" s="182">
        <f>'Examens accrédités et ajouts'!Q666</f>
        <v>0</v>
      </c>
      <c r="F654" s="48">
        <f>'Examens accrédités et ajouts'!L666</f>
        <v>0</v>
      </c>
      <c r="G654" s="48">
        <f>'Examens accrédités et ajouts'!M666</f>
        <v>0</v>
      </c>
    </row>
    <row r="655" spans="1:7" hidden="1" x14ac:dyDescent="0.2">
      <c r="A655" s="48">
        <f>'Examens accrédités et ajouts'!A667</f>
        <v>0</v>
      </c>
      <c r="B655" s="48">
        <f>'Examens accrédités et ajouts'!B667</f>
        <v>0</v>
      </c>
      <c r="C655" s="48">
        <f>'Examens accrédités et ajouts'!E667</f>
        <v>0</v>
      </c>
      <c r="D655" s="48">
        <f>'Examens accrédités et ajouts'!F667</f>
        <v>0</v>
      </c>
      <c r="E655" s="182">
        <f>'Examens accrédités et ajouts'!Q667</f>
        <v>0</v>
      </c>
      <c r="F655" s="48">
        <f>'Examens accrédités et ajouts'!L667</f>
        <v>0</v>
      </c>
      <c r="G655" s="48">
        <f>'Examens accrédités et ajouts'!M667</f>
        <v>0</v>
      </c>
    </row>
    <row r="656" spans="1:7" hidden="1" x14ac:dyDescent="0.2">
      <c r="A656" s="48">
        <f>'Examens accrédités et ajouts'!A668</f>
        <v>0</v>
      </c>
      <c r="B656" s="48">
        <f>'Examens accrédités et ajouts'!B668</f>
        <v>0</v>
      </c>
      <c r="C656" s="48">
        <f>'Examens accrédités et ajouts'!E668</f>
        <v>0</v>
      </c>
      <c r="D656" s="48">
        <f>'Examens accrédités et ajouts'!F668</f>
        <v>0</v>
      </c>
      <c r="E656" s="182">
        <f>'Examens accrédités et ajouts'!Q668</f>
        <v>0</v>
      </c>
      <c r="F656" s="48">
        <f>'Examens accrédités et ajouts'!L668</f>
        <v>0</v>
      </c>
      <c r="G656" s="48">
        <f>'Examens accrédités et ajouts'!M668</f>
        <v>0</v>
      </c>
    </row>
    <row r="657" spans="1:7" hidden="1" x14ac:dyDescent="0.2">
      <c r="A657" s="48">
        <f>'Examens accrédités et ajouts'!A669</f>
        <v>0</v>
      </c>
      <c r="B657" s="48">
        <f>'Examens accrédités et ajouts'!B669</f>
        <v>0</v>
      </c>
      <c r="C657" s="48">
        <f>'Examens accrédités et ajouts'!E669</f>
        <v>0</v>
      </c>
      <c r="D657" s="48">
        <f>'Examens accrédités et ajouts'!F669</f>
        <v>0</v>
      </c>
      <c r="E657" s="182">
        <f>'Examens accrédités et ajouts'!Q669</f>
        <v>0</v>
      </c>
      <c r="F657" s="48">
        <f>'Examens accrédités et ajouts'!L669</f>
        <v>0</v>
      </c>
      <c r="G657" s="48">
        <f>'Examens accrédités et ajouts'!M669</f>
        <v>0</v>
      </c>
    </row>
    <row r="658" spans="1:7" hidden="1" x14ac:dyDescent="0.2">
      <c r="A658" s="48">
        <f>'Examens accrédités et ajouts'!A670</f>
        <v>0</v>
      </c>
      <c r="B658" s="48">
        <f>'Examens accrédités et ajouts'!B670</f>
        <v>0</v>
      </c>
      <c r="C658" s="48">
        <f>'Examens accrédités et ajouts'!E670</f>
        <v>0</v>
      </c>
      <c r="D658" s="48">
        <f>'Examens accrédités et ajouts'!F670</f>
        <v>0</v>
      </c>
      <c r="E658" s="182">
        <f>'Examens accrédités et ajouts'!Q670</f>
        <v>0</v>
      </c>
      <c r="F658" s="48">
        <f>'Examens accrédités et ajouts'!L670</f>
        <v>0</v>
      </c>
      <c r="G658" s="48">
        <f>'Examens accrédités et ajouts'!M670</f>
        <v>0</v>
      </c>
    </row>
    <row r="659" spans="1:7" hidden="1" x14ac:dyDescent="0.2">
      <c r="A659" s="48">
        <f>'Examens accrédités et ajouts'!A671</f>
        <v>0</v>
      </c>
      <c r="B659" s="48">
        <f>'Examens accrédités et ajouts'!B671</f>
        <v>0</v>
      </c>
      <c r="C659" s="48">
        <f>'Examens accrédités et ajouts'!E671</f>
        <v>0</v>
      </c>
      <c r="D659" s="48">
        <f>'Examens accrédités et ajouts'!F671</f>
        <v>0</v>
      </c>
      <c r="E659" s="182">
        <f>'Examens accrédités et ajouts'!Q671</f>
        <v>0</v>
      </c>
      <c r="F659" s="48">
        <f>'Examens accrédités et ajouts'!L671</f>
        <v>0</v>
      </c>
      <c r="G659" s="48">
        <f>'Examens accrédités et ajouts'!M671</f>
        <v>0</v>
      </c>
    </row>
    <row r="660" spans="1:7" hidden="1" x14ac:dyDescent="0.2">
      <c r="A660" s="48">
        <f>'Examens accrédités et ajouts'!A672</f>
        <v>0</v>
      </c>
      <c r="B660" s="48">
        <f>'Examens accrédités et ajouts'!B672</f>
        <v>0</v>
      </c>
      <c r="C660" s="48">
        <f>'Examens accrédités et ajouts'!E672</f>
        <v>0</v>
      </c>
      <c r="D660" s="48">
        <f>'Examens accrédités et ajouts'!F672</f>
        <v>0</v>
      </c>
      <c r="E660" s="182">
        <f>'Examens accrédités et ajouts'!Q672</f>
        <v>0</v>
      </c>
      <c r="F660" s="48">
        <f>'Examens accrédités et ajouts'!L672</f>
        <v>0</v>
      </c>
      <c r="G660" s="48">
        <f>'Examens accrédités et ajouts'!M672</f>
        <v>0</v>
      </c>
    </row>
    <row r="661" spans="1:7" hidden="1" x14ac:dyDescent="0.2">
      <c r="A661" s="48">
        <f>'Examens accrédités et ajouts'!A673</f>
        <v>0</v>
      </c>
      <c r="B661" s="48">
        <f>'Examens accrédités et ajouts'!B673</f>
        <v>0</v>
      </c>
      <c r="C661" s="48">
        <f>'Examens accrédités et ajouts'!E673</f>
        <v>0</v>
      </c>
      <c r="D661" s="48">
        <f>'Examens accrédités et ajouts'!F673</f>
        <v>0</v>
      </c>
      <c r="E661" s="182">
        <f>'Examens accrédités et ajouts'!Q673</f>
        <v>0</v>
      </c>
      <c r="F661" s="48">
        <f>'Examens accrédités et ajouts'!L673</f>
        <v>0</v>
      </c>
      <c r="G661" s="48">
        <f>'Examens accrédités et ajouts'!M673</f>
        <v>0</v>
      </c>
    </row>
    <row r="662" spans="1:7" hidden="1" x14ac:dyDescent="0.2">
      <c r="A662" s="48">
        <f>'Examens accrédités et ajouts'!A674</f>
        <v>0</v>
      </c>
      <c r="B662" s="48">
        <f>'Examens accrédités et ajouts'!B674</f>
        <v>0</v>
      </c>
      <c r="C662" s="48">
        <f>'Examens accrédités et ajouts'!E674</f>
        <v>0</v>
      </c>
      <c r="D662" s="48">
        <f>'Examens accrédités et ajouts'!F674</f>
        <v>0</v>
      </c>
      <c r="E662" s="182">
        <f>'Examens accrédités et ajouts'!Q674</f>
        <v>0</v>
      </c>
      <c r="F662" s="48">
        <f>'Examens accrédités et ajouts'!L674</f>
        <v>0</v>
      </c>
      <c r="G662" s="48">
        <f>'Examens accrédités et ajouts'!M674</f>
        <v>0</v>
      </c>
    </row>
    <row r="663" spans="1:7" hidden="1" x14ac:dyDescent="0.2">
      <c r="A663" s="48">
        <f>'Examens accrédités et ajouts'!A675</f>
        <v>0</v>
      </c>
      <c r="B663" s="48">
        <f>'Examens accrédités et ajouts'!B675</f>
        <v>0</v>
      </c>
      <c r="C663" s="48">
        <f>'Examens accrédités et ajouts'!E675</f>
        <v>0</v>
      </c>
      <c r="D663" s="48">
        <f>'Examens accrédités et ajouts'!F675</f>
        <v>0</v>
      </c>
      <c r="E663" s="182">
        <f>'Examens accrédités et ajouts'!Q675</f>
        <v>0</v>
      </c>
      <c r="F663" s="48">
        <f>'Examens accrédités et ajouts'!L675</f>
        <v>0</v>
      </c>
      <c r="G663" s="48">
        <f>'Examens accrédités et ajouts'!M675</f>
        <v>0</v>
      </c>
    </row>
    <row r="664" spans="1:7" hidden="1" x14ac:dyDescent="0.2">
      <c r="A664" s="48">
        <f>'Examens accrédités et ajouts'!A676</f>
        <v>0</v>
      </c>
      <c r="B664" s="48">
        <f>'Examens accrédités et ajouts'!B676</f>
        <v>0</v>
      </c>
      <c r="C664" s="48">
        <f>'Examens accrédités et ajouts'!E676</f>
        <v>0</v>
      </c>
      <c r="D664" s="48">
        <f>'Examens accrédités et ajouts'!F676</f>
        <v>0</v>
      </c>
      <c r="E664" s="182">
        <f>'Examens accrédités et ajouts'!Q676</f>
        <v>0</v>
      </c>
      <c r="F664" s="48">
        <f>'Examens accrédités et ajouts'!L676</f>
        <v>0</v>
      </c>
      <c r="G664" s="48">
        <f>'Examens accrédités et ajouts'!M676</f>
        <v>0</v>
      </c>
    </row>
    <row r="665" spans="1:7" hidden="1" x14ac:dyDescent="0.2">
      <c r="A665" s="48">
        <f>'Examens accrédités et ajouts'!A677</f>
        <v>0</v>
      </c>
      <c r="B665" s="48">
        <f>'Examens accrédités et ajouts'!B677</f>
        <v>0</v>
      </c>
      <c r="C665" s="48">
        <f>'Examens accrédités et ajouts'!E677</f>
        <v>0</v>
      </c>
      <c r="D665" s="48">
        <f>'Examens accrédités et ajouts'!F677</f>
        <v>0</v>
      </c>
      <c r="E665" s="182">
        <f>'Examens accrédités et ajouts'!Q677</f>
        <v>0</v>
      </c>
      <c r="F665" s="48">
        <f>'Examens accrédités et ajouts'!L677</f>
        <v>0</v>
      </c>
      <c r="G665" s="48">
        <f>'Examens accrédités et ajouts'!M677</f>
        <v>0</v>
      </c>
    </row>
    <row r="666" spans="1:7" hidden="1" x14ac:dyDescent="0.2">
      <c r="A666" s="48">
        <f>'Examens accrédités et ajouts'!A678</f>
        <v>0</v>
      </c>
      <c r="B666" s="48">
        <f>'Examens accrédités et ajouts'!B678</f>
        <v>0</v>
      </c>
      <c r="C666" s="48">
        <f>'Examens accrédités et ajouts'!E678</f>
        <v>0</v>
      </c>
      <c r="D666" s="48">
        <f>'Examens accrédités et ajouts'!F678</f>
        <v>0</v>
      </c>
      <c r="E666" s="182">
        <f>'Examens accrédités et ajouts'!Q678</f>
        <v>0</v>
      </c>
      <c r="F666" s="48">
        <f>'Examens accrédités et ajouts'!L678</f>
        <v>0</v>
      </c>
      <c r="G666" s="48">
        <f>'Examens accrédités et ajouts'!M678</f>
        <v>0</v>
      </c>
    </row>
    <row r="667" spans="1:7" hidden="1" x14ac:dyDescent="0.2">
      <c r="A667" s="48">
        <f>'Examens accrédités et ajouts'!A679</f>
        <v>0</v>
      </c>
      <c r="B667" s="48">
        <f>'Examens accrédités et ajouts'!B679</f>
        <v>0</v>
      </c>
      <c r="C667" s="48">
        <f>'Examens accrédités et ajouts'!E679</f>
        <v>0</v>
      </c>
      <c r="D667" s="48">
        <f>'Examens accrédités et ajouts'!F679</f>
        <v>0</v>
      </c>
      <c r="E667" s="182">
        <f>'Examens accrédités et ajouts'!Q679</f>
        <v>0</v>
      </c>
      <c r="F667" s="48">
        <f>'Examens accrédités et ajouts'!L679</f>
        <v>0</v>
      </c>
      <c r="G667" s="48">
        <f>'Examens accrédités et ajouts'!M679</f>
        <v>0</v>
      </c>
    </row>
    <row r="668" spans="1:7" hidden="1" x14ac:dyDescent="0.2">
      <c r="A668" s="48">
        <f>'Examens accrédités et ajouts'!A680</f>
        <v>0</v>
      </c>
      <c r="B668" s="48">
        <f>'Examens accrédités et ajouts'!B680</f>
        <v>0</v>
      </c>
      <c r="C668" s="48">
        <f>'Examens accrédités et ajouts'!E680</f>
        <v>0</v>
      </c>
      <c r="D668" s="48">
        <f>'Examens accrédités et ajouts'!F680</f>
        <v>0</v>
      </c>
      <c r="E668" s="182">
        <f>'Examens accrédités et ajouts'!Q680</f>
        <v>0</v>
      </c>
      <c r="F668" s="48">
        <f>'Examens accrédités et ajouts'!L680</f>
        <v>0</v>
      </c>
      <c r="G668" s="48">
        <f>'Examens accrédités et ajouts'!M680</f>
        <v>0</v>
      </c>
    </row>
    <row r="669" spans="1:7" hidden="1" x14ac:dyDescent="0.2">
      <c r="A669" s="48">
        <f>'Examens accrédités et ajouts'!A681</f>
        <v>0</v>
      </c>
      <c r="B669" s="48">
        <f>'Examens accrédités et ajouts'!B681</f>
        <v>0</v>
      </c>
      <c r="C669" s="48">
        <f>'Examens accrédités et ajouts'!E681</f>
        <v>0</v>
      </c>
      <c r="D669" s="48">
        <f>'Examens accrédités et ajouts'!F681</f>
        <v>0</v>
      </c>
      <c r="E669" s="182">
        <f>'Examens accrédités et ajouts'!Q681</f>
        <v>0</v>
      </c>
      <c r="F669" s="48">
        <f>'Examens accrédités et ajouts'!L681</f>
        <v>0</v>
      </c>
      <c r="G669" s="48">
        <f>'Examens accrédités et ajouts'!M681</f>
        <v>0</v>
      </c>
    </row>
    <row r="670" spans="1:7" hidden="1" x14ac:dyDescent="0.2">
      <c r="A670" s="48">
        <f>'Examens accrédités et ajouts'!A682</f>
        <v>0</v>
      </c>
      <c r="B670" s="48">
        <f>'Examens accrédités et ajouts'!B682</f>
        <v>0</v>
      </c>
      <c r="C670" s="48">
        <f>'Examens accrédités et ajouts'!E682</f>
        <v>0</v>
      </c>
      <c r="D670" s="48">
        <f>'Examens accrédités et ajouts'!F682</f>
        <v>0</v>
      </c>
      <c r="E670" s="182">
        <f>'Examens accrédités et ajouts'!Q682</f>
        <v>0</v>
      </c>
      <c r="F670" s="48">
        <f>'Examens accrédités et ajouts'!L682</f>
        <v>0</v>
      </c>
      <c r="G670" s="48">
        <f>'Examens accrédités et ajouts'!M682</f>
        <v>0</v>
      </c>
    </row>
    <row r="671" spans="1:7" hidden="1" x14ac:dyDescent="0.2">
      <c r="A671" s="48">
        <f>'Examens accrédités et ajouts'!A683</f>
        <v>0</v>
      </c>
      <c r="B671" s="48">
        <f>'Examens accrédités et ajouts'!B683</f>
        <v>0</v>
      </c>
      <c r="C671" s="48">
        <f>'Examens accrédités et ajouts'!E683</f>
        <v>0</v>
      </c>
      <c r="D671" s="48">
        <f>'Examens accrédités et ajouts'!F683</f>
        <v>0</v>
      </c>
      <c r="E671" s="182">
        <f>'Examens accrédités et ajouts'!Q683</f>
        <v>0</v>
      </c>
      <c r="F671" s="48">
        <f>'Examens accrédités et ajouts'!L683</f>
        <v>0</v>
      </c>
      <c r="G671" s="48">
        <f>'Examens accrédités et ajouts'!M683</f>
        <v>0</v>
      </c>
    </row>
    <row r="672" spans="1:7" hidden="1" x14ac:dyDescent="0.2">
      <c r="A672" s="48">
        <f>'Examens accrédités et ajouts'!A684</f>
        <v>0</v>
      </c>
      <c r="B672" s="48">
        <f>'Examens accrédités et ajouts'!B684</f>
        <v>0</v>
      </c>
      <c r="C672" s="48">
        <f>'Examens accrédités et ajouts'!E684</f>
        <v>0</v>
      </c>
      <c r="D672" s="48">
        <f>'Examens accrédités et ajouts'!F684</f>
        <v>0</v>
      </c>
      <c r="E672" s="182">
        <f>'Examens accrédités et ajouts'!Q684</f>
        <v>0</v>
      </c>
      <c r="F672" s="48">
        <f>'Examens accrédités et ajouts'!L684</f>
        <v>0</v>
      </c>
      <c r="G672" s="48">
        <f>'Examens accrédités et ajouts'!M684</f>
        <v>0</v>
      </c>
    </row>
    <row r="673" spans="1:7" hidden="1" x14ac:dyDescent="0.2">
      <c r="A673" s="48">
        <f>'Examens accrédités et ajouts'!A685</f>
        <v>0</v>
      </c>
      <c r="B673" s="48">
        <f>'Examens accrédités et ajouts'!B685</f>
        <v>0</v>
      </c>
      <c r="C673" s="48">
        <f>'Examens accrédités et ajouts'!E685</f>
        <v>0</v>
      </c>
      <c r="D673" s="48">
        <f>'Examens accrédités et ajouts'!F685</f>
        <v>0</v>
      </c>
      <c r="E673" s="182">
        <f>'Examens accrédités et ajouts'!Q685</f>
        <v>0</v>
      </c>
      <c r="F673" s="48">
        <f>'Examens accrédités et ajouts'!L685</f>
        <v>0</v>
      </c>
      <c r="G673" s="48">
        <f>'Examens accrédités et ajouts'!M685</f>
        <v>0</v>
      </c>
    </row>
    <row r="674" spans="1:7" hidden="1" x14ac:dyDescent="0.2">
      <c r="A674" s="48">
        <f>'Examens accrédités et ajouts'!A686</f>
        <v>0</v>
      </c>
      <c r="B674" s="48">
        <f>'Examens accrédités et ajouts'!B686</f>
        <v>0</v>
      </c>
      <c r="C674" s="48">
        <f>'Examens accrédités et ajouts'!E686</f>
        <v>0</v>
      </c>
      <c r="D674" s="48">
        <f>'Examens accrédités et ajouts'!F686</f>
        <v>0</v>
      </c>
      <c r="E674" s="182">
        <f>'Examens accrédités et ajouts'!Q686</f>
        <v>0</v>
      </c>
      <c r="F674" s="48">
        <f>'Examens accrédités et ajouts'!L686</f>
        <v>0</v>
      </c>
      <c r="G674" s="48">
        <f>'Examens accrédités et ajouts'!M686</f>
        <v>0</v>
      </c>
    </row>
    <row r="675" spans="1:7" hidden="1" x14ac:dyDescent="0.2">
      <c r="A675" s="48">
        <f>'Examens accrédités et ajouts'!A687</f>
        <v>0</v>
      </c>
      <c r="B675" s="48">
        <f>'Examens accrédités et ajouts'!B687</f>
        <v>0</v>
      </c>
      <c r="C675" s="48">
        <f>'Examens accrédités et ajouts'!E687</f>
        <v>0</v>
      </c>
      <c r="D675" s="48">
        <f>'Examens accrédités et ajouts'!F687</f>
        <v>0</v>
      </c>
      <c r="E675" s="182">
        <f>'Examens accrédités et ajouts'!Q687</f>
        <v>0</v>
      </c>
      <c r="F675" s="48">
        <f>'Examens accrédités et ajouts'!L687</f>
        <v>0</v>
      </c>
      <c r="G675" s="48">
        <f>'Examens accrédités et ajouts'!M687</f>
        <v>0</v>
      </c>
    </row>
    <row r="676" spans="1:7" hidden="1" x14ac:dyDescent="0.2">
      <c r="A676" s="48">
        <f>'Examens accrédités et ajouts'!A688</f>
        <v>0</v>
      </c>
      <c r="B676" s="48">
        <f>'Examens accrédités et ajouts'!B688</f>
        <v>0</v>
      </c>
      <c r="C676" s="48">
        <f>'Examens accrédités et ajouts'!E688</f>
        <v>0</v>
      </c>
      <c r="D676" s="48">
        <f>'Examens accrédités et ajouts'!F688</f>
        <v>0</v>
      </c>
      <c r="E676" s="182">
        <f>'Examens accrédités et ajouts'!Q688</f>
        <v>0</v>
      </c>
      <c r="F676" s="48">
        <f>'Examens accrédités et ajouts'!L688</f>
        <v>0</v>
      </c>
      <c r="G676" s="48">
        <f>'Examens accrédités et ajouts'!M688</f>
        <v>0</v>
      </c>
    </row>
    <row r="677" spans="1:7" hidden="1" x14ac:dyDescent="0.2">
      <c r="A677" s="48">
        <f>'Examens accrédités et ajouts'!A689</f>
        <v>0</v>
      </c>
      <c r="B677" s="48">
        <f>'Examens accrédités et ajouts'!B689</f>
        <v>0</v>
      </c>
      <c r="C677" s="48">
        <f>'Examens accrédités et ajouts'!E689</f>
        <v>0</v>
      </c>
      <c r="D677" s="48">
        <f>'Examens accrédités et ajouts'!F689</f>
        <v>0</v>
      </c>
      <c r="E677" s="182">
        <f>'Examens accrédités et ajouts'!Q689</f>
        <v>0</v>
      </c>
      <c r="F677" s="48">
        <f>'Examens accrédités et ajouts'!L689</f>
        <v>0</v>
      </c>
      <c r="G677" s="48">
        <f>'Examens accrédités et ajouts'!M689</f>
        <v>0</v>
      </c>
    </row>
    <row r="678" spans="1:7" hidden="1" x14ac:dyDescent="0.2">
      <c r="A678" s="48">
        <f>'Examens accrédités et ajouts'!A690</f>
        <v>0</v>
      </c>
      <c r="B678" s="48">
        <f>'Examens accrédités et ajouts'!B690</f>
        <v>0</v>
      </c>
      <c r="C678" s="48">
        <f>'Examens accrédités et ajouts'!E690</f>
        <v>0</v>
      </c>
      <c r="D678" s="48">
        <f>'Examens accrédités et ajouts'!F690</f>
        <v>0</v>
      </c>
      <c r="E678" s="182">
        <f>'Examens accrédités et ajouts'!Q690</f>
        <v>0</v>
      </c>
      <c r="F678" s="48">
        <f>'Examens accrédités et ajouts'!L690</f>
        <v>0</v>
      </c>
      <c r="G678" s="48">
        <f>'Examens accrédités et ajouts'!M690</f>
        <v>0</v>
      </c>
    </row>
    <row r="679" spans="1:7" hidden="1" x14ac:dyDescent="0.2">
      <c r="A679" s="48">
        <f>'Examens accrédités et ajouts'!A691</f>
        <v>0</v>
      </c>
      <c r="B679" s="48">
        <f>'Examens accrédités et ajouts'!B691</f>
        <v>0</v>
      </c>
      <c r="C679" s="48">
        <f>'Examens accrédités et ajouts'!E691</f>
        <v>0</v>
      </c>
      <c r="D679" s="48">
        <f>'Examens accrédités et ajouts'!F691</f>
        <v>0</v>
      </c>
      <c r="E679" s="182">
        <f>'Examens accrédités et ajouts'!Q691</f>
        <v>0</v>
      </c>
      <c r="F679" s="48">
        <f>'Examens accrédités et ajouts'!L691</f>
        <v>0</v>
      </c>
      <c r="G679" s="48">
        <f>'Examens accrédités et ajouts'!M691</f>
        <v>0</v>
      </c>
    </row>
    <row r="680" spans="1:7" hidden="1" x14ac:dyDescent="0.2">
      <c r="A680" s="48">
        <f>'Examens accrédités et ajouts'!A692</f>
        <v>0</v>
      </c>
      <c r="B680" s="48">
        <f>'Examens accrédités et ajouts'!B692</f>
        <v>0</v>
      </c>
      <c r="C680" s="48">
        <f>'Examens accrédités et ajouts'!E692</f>
        <v>0</v>
      </c>
      <c r="D680" s="48">
        <f>'Examens accrédités et ajouts'!F692</f>
        <v>0</v>
      </c>
      <c r="E680" s="182">
        <f>'Examens accrédités et ajouts'!Q692</f>
        <v>0</v>
      </c>
      <c r="F680" s="48">
        <f>'Examens accrédités et ajouts'!L692</f>
        <v>0</v>
      </c>
      <c r="G680" s="48">
        <f>'Examens accrédités et ajouts'!M692</f>
        <v>0</v>
      </c>
    </row>
    <row r="681" spans="1:7" hidden="1" x14ac:dyDescent="0.2">
      <c r="A681" s="48">
        <f>'Examens accrédités et ajouts'!A693</f>
        <v>0</v>
      </c>
      <c r="B681" s="48">
        <f>'Examens accrédités et ajouts'!B693</f>
        <v>0</v>
      </c>
      <c r="C681" s="48">
        <f>'Examens accrédités et ajouts'!E693</f>
        <v>0</v>
      </c>
      <c r="D681" s="48">
        <f>'Examens accrédités et ajouts'!F693</f>
        <v>0</v>
      </c>
      <c r="E681" s="182">
        <f>'Examens accrédités et ajouts'!Q693</f>
        <v>0</v>
      </c>
      <c r="F681" s="48">
        <f>'Examens accrédités et ajouts'!L693</f>
        <v>0</v>
      </c>
      <c r="G681" s="48">
        <f>'Examens accrédités et ajouts'!M693</f>
        <v>0</v>
      </c>
    </row>
    <row r="682" spans="1:7" hidden="1" x14ac:dyDescent="0.2">
      <c r="A682" s="48">
        <f>'Examens accrédités et ajouts'!A694</f>
        <v>0</v>
      </c>
      <c r="B682" s="48">
        <f>'Examens accrédités et ajouts'!B694</f>
        <v>0</v>
      </c>
      <c r="C682" s="48">
        <f>'Examens accrédités et ajouts'!E694</f>
        <v>0</v>
      </c>
      <c r="D682" s="48">
        <f>'Examens accrédités et ajouts'!F694</f>
        <v>0</v>
      </c>
      <c r="E682" s="182">
        <f>'Examens accrédités et ajouts'!Q694</f>
        <v>0</v>
      </c>
      <c r="F682" s="48">
        <f>'Examens accrédités et ajouts'!L694</f>
        <v>0</v>
      </c>
      <c r="G682" s="48">
        <f>'Examens accrédités et ajouts'!M694</f>
        <v>0</v>
      </c>
    </row>
    <row r="683" spans="1:7" hidden="1" x14ac:dyDescent="0.2">
      <c r="A683" s="48">
        <f>'Examens accrédités et ajouts'!A695</f>
        <v>0</v>
      </c>
      <c r="B683" s="48">
        <f>'Examens accrédités et ajouts'!B695</f>
        <v>0</v>
      </c>
      <c r="C683" s="48">
        <f>'Examens accrédités et ajouts'!E695</f>
        <v>0</v>
      </c>
      <c r="D683" s="48">
        <f>'Examens accrédités et ajouts'!F695</f>
        <v>0</v>
      </c>
      <c r="E683" s="182">
        <f>'Examens accrédités et ajouts'!Q695</f>
        <v>0</v>
      </c>
      <c r="F683" s="48">
        <f>'Examens accrédités et ajouts'!L695</f>
        <v>0</v>
      </c>
      <c r="G683" s="48">
        <f>'Examens accrédités et ajouts'!M695</f>
        <v>0</v>
      </c>
    </row>
    <row r="684" spans="1:7" hidden="1" x14ac:dyDescent="0.2">
      <c r="A684" s="48">
        <f>'Examens accrédités et ajouts'!A696</f>
        <v>0</v>
      </c>
      <c r="B684" s="48">
        <f>'Examens accrédités et ajouts'!B696</f>
        <v>0</v>
      </c>
      <c r="C684" s="48">
        <f>'Examens accrédités et ajouts'!E696</f>
        <v>0</v>
      </c>
      <c r="D684" s="48">
        <f>'Examens accrédités et ajouts'!F696</f>
        <v>0</v>
      </c>
      <c r="E684" s="182">
        <f>'Examens accrédités et ajouts'!Q696</f>
        <v>0</v>
      </c>
      <c r="F684" s="48">
        <f>'Examens accrédités et ajouts'!L696</f>
        <v>0</v>
      </c>
      <c r="G684" s="48">
        <f>'Examens accrédités et ajouts'!M696</f>
        <v>0</v>
      </c>
    </row>
    <row r="685" spans="1:7" hidden="1" x14ac:dyDescent="0.2">
      <c r="A685" s="48">
        <f>'Examens accrédités et ajouts'!A697</f>
        <v>0</v>
      </c>
      <c r="B685" s="48">
        <f>'Examens accrédités et ajouts'!B697</f>
        <v>0</v>
      </c>
      <c r="C685" s="48">
        <f>'Examens accrédités et ajouts'!E697</f>
        <v>0</v>
      </c>
      <c r="D685" s="48">
        <f>'Examens accrédités et ajouts'!F697</f>
        <v>0</v>
      </c>
      <c r="E685" s="182">
        <f>'Examens accrédités et ajouts'!Q697</f>
        <v>0</v>
      </c>
      <c r="F685" s="48">
        <f>'Examens accrédités et ajouts'!L697</f>
        <v>0</v>
      </c>
      <c r="G685" s="48">
        <f>'Examens accrédités et ajouts'!M697</f>
        <v>0</v>
      </c>
    </row>
    <row r="686" spans="1:7" hidden="1" x14ac:dyDescent="0.2">
      <c r="A686" s="48">
        <f>'Examens accrédités et ajouts'!A698</f>
        <v>0</v>
      </c>
      <c r="B686" s="48">
        <f>'Examens accrédités et ajouts'!B698</f>
        <v>0</v>
      </c>
      <c r="C686" s="48">
        <f>'Examens accrédités et ajouts'!E698</f>
        <v>0</v>
      </c>
      <c r="D686" s="48">
        <f>'Examens accrédités et ajouts'!F698</f>
        <v>0</v>
      </c>
      <c r="E686" s="182">
        <f>'Examens accrédités et ajouts'!Q698</f>
        <v>0</v>
      </c>
      <c r="F686" s="48">
        <f>'Examens accrédités et ajouts'!L698</f>
        <v>0</v>
      </c>
      <c r="G686" s="48">
        <f>'Examens accrédités et ajouts'!M698</f>
        <v>0</v>
      </c>
    </row>
    <row r="687" spans="1:7" hidden="1" x14ac:dyDescent="0.2">
      <c r="A687" s="48">
        <f>'Examens accrédités et ajouts'!A699</f>
        <v>0</v>
      </c>
      <c r="B687" s="48">
        <f>'Examens accrédités et ajouts'!B699</f>
        <v>0</v>
      </c>
      <c r="C687" s="48">
        <f>'Examens accrédités et ajouts'!E699</f>
        <v>0</v>
      </c>
      <c r="D687" s="48">
        <f>'Examens accrédités et ajouts'!F699</f>
        <v>0</v>
      </c>
      <c r="E687" s="182">
        <f>'Examens accrédités et ajouts'!Q699</f>
        <v>0</v>
      </c>
      <c r="F687" s="48">
        <f>'Examens accrédités et ajouts'!L699</f>
        <v>0</v>
      </c>
      <c r="G687" s="48">
        <f>'Examens accrédités et ajouts'!M699</f>
        <v>0</v>
      </c>
    </row>
    <row r="688" spans="1:7" hidden="1" x14ac:dyDescent="0.2">
      <c r="A688" s="48">
        <f>'Examens accrédités et ajouts'!A698</f>
        <v>0</v>
      </c>
      <c r="B688" s="48">
        <f>'Examens accrédités et ajouts'!B698</f>
        <v>0</v>
      </c>
      <c r="C688" s="48">
        <f>'Examens accrédités et ajouts'!E698</f>
        <v>0</v>
      </c>
      <c r="D688" s="48">
        <f>'Examens accrédités et ajouts'!F698</f>
        <v>0</v>
      </c>
      <c r="E688" s="182">
        <f>'Examens accrédités et ajouts'!Q698</f>
        <v>0</v>
      </c>
      <c r="F688" s="48">
        <f>'Examens accrédités et ajouts'!L698</f>
        <v>0</v>
      </c>
      <c r="G688" s="48">
        <f>'Examens accrédités et ajouts'!M698</f>
        <v>0</v>
      </c>
    </row>
    <row r="689" spans="1:7" hidden="1" x14ac:dyDescent="0.2">
      <c r="A689" s="48">
        <f>'Examens accrédités et ajouts'!A699</f>
        <v>0</v>
      </c>
      <c r="B689" s="48">
        <f>'Examens accrédités et ajouts'!B699</f>
        <v>0</v>
      </c>
      <c r="C689" s="48">
        <f>'Examens accrédités et ajouts'!E699</f>
        <v>0</v>
      </c>
      <c r="D689" s="48">
        <f>'Examens accrédités et ajouts'!F699</f>
        <v>0</v>
      </c>
      <c r="E689" s="182">
        <f>'Examens accrédités et ajouts'!Q699</f>
        <v>0</v>
      </c>
      <c r="F689" s="48">
        <f>'Examens accrédités et ajouts'!L699</f>
        <v>0</v>
      </c>
      <c r="G689" s="48">
        <f>'Examens accrédités et ajouts'!M699</f>
        <v>0</v>
      </c>
    </row>
    <row r="690" spans="1:7" hidden="1" x14ac:dyDescent="0.2">
      <c r="A690" s="48">
        <f>'Examens accrédités et ajouts'!A700</f>
        <v>0</v>
      </c>
      <c r="B690" s="48">
        <f>'Examens accrédités et ajouts'!B700</f>
        <v>0</v>
      </c>
      <c r="C690" s="48">
        <f>'Examens accrédités et ajouts'!E700</f>
        <v>0</v>
      </c>
      <c r="D690" s="48">
        <f>'Examens accrédités et ajouts'!F700</f>
        <v>0</v>
      </c>
      <c r="E690" s="182">
        <f>'Examens accrédités et ajouts'!Q700</f>
        <v>0</v>
      </c>
      <c r="F690" s="48">
        <f>'Examens accrédités et ajouts'!L700</f>
        <v>0</v>
      </c>
      <c r="G690" s="48">
        <f>'Examens accrédités et ajouts'!M700</f>
        <v>0</v>
      </c>
    </row>
    <row r="691" spans="1:7" hidden="1" x14ac:dyDescent="0.2">
      <c r="A691" s="48">
        <f>'Examens accrédités et ajouts'!A701</f>
        <v>0</v>
      </c>
      <c r="B691" s="48">
        <f>'Examens accrédités et ajouts'!B701</f>
        <v>0</v>
      </c>
      <c r="C691" s="48">
        <f>'Examens accrédités et ajouts'!E701</f>
        <v>0</v>
      </c>
      <c r="D691" s="48">
        <f>'Examens accrédités et ajouts'!F701</f>
        <v>0</v>
      </c>
      <c r="E691" s="182">
        <f>'Examens accrédités et ajouts'!Q701</f>
        <v>0</v>
      </c>
      <c r="F691" s="48">
        <f>'Examens accrédités et ajouts'!L701</f>
        <v>0</v>
      </c>
      <c r="G691" s="48">
        <f>'Examens accrédités et ajouts'!M701</f>
        <v>0</v>
      </c>
    </row>
    <row r="692" spans="1:7" hidden="1" x14ac:dyDescent="0.2">
      <c r="A692" s="48">
        <f>'Examens accrédités et ajouts'!A702</f>
        <v>0</v>
      </c>
      <c r="B692" s="48">
        <f>'Examens accrédités et ajouts'!B702</f>
        <v>0</v>
      </c>
      <c r="C692" s="48">
        <f>'Examens accrédités et ajouts'!E702</f>
        <v>0</v>
      </c>
      <c r="D692" s="48">
        <f>'Examens accrédités et ajouts'!F702</f>
        <v>0</v>
      </c>
      <c r="E692" s="182">
        <f>'Examens accrédités et ajouts'!Q702</f>
        <v>0</v>
      </c>
      <c r="F692" s="48">
        <f>'Examens accrédités et ajouts'!L702</f>
        <v>0</v>
      </c>
      <c r="G692" s="48">
        <f>'Examens accrédités et ajouts'!M702</f>
        <v>0</v>
      </c>
    </row>
    <row r="693" spans="1:7" hidden="1" x14ac:dyDescent="0.2">
      <c r="A693" s="48">
        <f>'Examens accrédités et ajouts'!A703</f>
        <v>0</v>
      </c>
      <c r="B693" s="48">
        <f>'Examens accrédités et ajouts'!B703</f>
        <v>0</v>
      </c>
      <c r="C693" s="48">
        <f>'Examens accrédités et ajouts'!E703</f>
        <v>0</v>
      </c>
      <c r="D693" s="48">
        <f>'Examens accrédités et ajouts'!F703</f>
        <v>0</v>
      </c>
      <c r="E693" s="182">
        <f>'Examens accrédités et ajouts'!Q703</f>
        <v>0</v>
      </c>
      <c r="F693" s="48">
        <f>'Examens accrédités et ajouts'!L703</f>
        <v>0</v>
      </c>
      <c r="G693" s="48">
        <f>'Examens accrédités et ajouts'!M703</f>
        <v>0</v>
      </c>
    </row>
    <row r="694" spans="1:7" hidden="1" x14ac:dyDescent="0.2">
      <c r="A694" s="48">
        <f>'Examens accrédités et ajouts'!A704</f>
        <v>0</v>
      </c>
      <c r="B694" s="48">
        <f>'Examens accrédités et ajouts'!B704</f>
        <v>0</v>
      </c>
      <c r="C694" s="48">
        <f>'Examens accrédités et ajouts'!E704</f>
        <v>0</v>
      </c>
      <c r="D694" s="48">
        <f>'Examens accrédités et ajouts'!F704</f>
        <v>0</v>
      </c>
      <c r="E694" s="182">
        <f>'Examens accrédités et ajouts'!Q704</f>
        <v>0</v>
      </c>
      <c r="F694" s="48">
        <f>'Examens accrédités et ajouts'!L704</f>
        <v>0</v>
      </c>
      <c r="G694" s="48">
        <f>'Examens accrédités et ajouts'!M704</f>
        <v>0</v>
      </c>
    </row>
    <row r="695" spans="1:7" hidden="1" x14ac:dyDescent="0.2">
      <c r="A695" s="48">
        <f>'Examens accrédités et ajouts'!A705</f>
        <v>0</v>
      </c>
      <c r="B695" s="48">
        <f>'Examens accrédités et ajouts'!B705</f>
        <v>0</v>
      </c>
      <c r="C695" s="48">
        <f>'Examens accrédités et ajouts'!E705</f>
        <v>0</v>
      </c>
      <c r="D695" s="48">
        <f>'Examens accrédités et ajouts'!F705</f>
        <v>0</v>
      </c>
      <c r="E695" s="182">
        <f>'Examens accrédités et ajouts'!Q705</f>
        <v>0</v>
      </c>
      <c r="F695" s="48">
        <f>'Examens accrédités et ajouts'!L705</f>
        <v>0</v>
      </c>
      <c r="G695" s="48">
        <f>'Examens accrédités et ajouts'!M705</f>
        <v>0</v>
      </c>
    </row>
    <row r="696" spans="1:7" hidden="1" x14ac:dyDescent="0.2">
      <c r="A696" s="48">
        <f>'Examens accrédités et ajouts'!A706</f>
        <v>0</v>
      </c>
      <c r="B696" s="48">
        <f>'Examens accrédités et ajouts'!B706</f>
        <v>0</v>
      </c>
      <c r="C696" s="48">
        <f>'Examens accrédités et ajouts'!E706</f>
        <v>0</v>
      </c>
      <c r="D696" s="48">
        <f>'Examens accrédités et ajouts'!F706</f>
        <v>0</v>
      </c>
      <c r="E696" s="182">
        <f>'Examens accrédités et ajouts'!Q706</f>
        <v>0</v>
      </c>
      <c r="F696" s="48">
        <f>'Examens accrédités et ajouts'!L706</f>
        <v>0</v>
      </c>
      <c r="G696" s="48">
        <f>'Examens accrédités et ajouts'!M706</f>
        <v>0</v>
      </c>
    </row>
    <row r="697" spans="1:7" hidden="1" x14ac:dyDescent="0.2">
      <c r="A697" s="48">
        <f>'Examens accrédités et ajouts'!A707</f>
        <v>0</v>
      </c>
      <c r="B697" s="48">
        <f>'Examens accrédités et ajouts'!B707</f>
        <v>0</v>
      </c>
      <c r="C697" s="48">
        <f>'Examens accrédités et ajouts'!E707</f>
        <v>0</v>
      </c>
      <c r="D697" s="48">
        <f>'Examens accrédités et ajouts'!F707</f>
        <v>0</v>
      </c>
      <c r="E697" s="182">
        <f>'Examens accrédités et ajouts'!Q707</f>
        <v>0</v>
      </c>
      <c r="F697" s="48">
        <f>'Examens accrédités et ajouts'!L707</f>
        <v>0</v>
      </c>
      <c r="G697" s="48">
        <f>'Examens accrédités et ajouts'!M707</f>
        <v>0</v>
      </c>
    </row>
    <row r="698" spans="1:7" hidden="1" x14ac:dyDescent="0.2">
      <c r="A698" s="48">
        <f>'Examens accrédités et ajouts'!A708</f>
        <v>0</v>
      </c>
      <c r="B698" s="48">
        <f>'Examens accrédités et ajouts'!B708</f>
        <v>0</v>
      </c>
      <c r="C698" s="48">
        <f>'Examens accrédités et ajouts'!E708</f>
        <v>0</v>
      </c>
      <c r="D698" s="48">
        <f>'Examens accrédités et ajouts'!F708</f>
        <v>0</v>
      </c>
      <c r="E698" s="182">
        <f>'Examens accrédités et ajouts'!Q708</f>
        <v>0</v>
      </c>
      <c r="F698" s="48">
        <f>'Examens accrédités et ajouts'!L708</f>
        <v>0</v>
      </c>
      <c r="G698" s="48">
        <f>'Examens accrédités et ajouts'!M708</f>
        <v>0</v>
      </c>
    </row>
    <row r="699" spans="1:7" hidden="1" x14ac:dyDescent="0.2">
      <c r="A699" s="48">
        <f>'Examens accrédités et ajouts'!A709</f>
        <v>0</v>
      </c>
      <c r="B699" s="48">
        <f>'Examens accrédités et ajouts'!B709</f>
        <v>0</v>
      </c>
      <c r="C699" s="48">
        <f>'Examens accrédités et ajouts'!E709</f>
        <v>0</v>
      </c>
      <c r="D699" s="48">
        <f>'Examens accrédités et ajouts'!F709</f>
        <v>0</v>
      </c>
      <c r="E699" s="182">
        <f>'Examens accrédités et ajouts'!Q709</f>
        <v>0</v>
      </c>
      <c r="F699" s="48">
        <f>'Examens accrédités et ajouts'!L709</f>
        <v>0</v>
      </c>
      <c r="G699" s="48">
        <f>'Examens accrédités et ajouts'!M709</f>
        <v>0</v>
      </c>
    </row>
    <row r="700" spans="1:7" hidden="1" x14ac:dyDescent="0.2">
      <c r="A700" s="48">
        <f>'Examens accrédités et ajouts'!A710</f>
        <v>0</v>
      </c>
      <c r="B700" s="48">
        <f>'Examens accrédités et ajouts'!B710</f>
        <v>0</v>
      </c>
      <c r="C700" s="48">
        <f>'Examens accrédités et ajouts'!E710</f>
        <v>0</v>
      </c>
      <c r="D700" s="48">
        <f>'Examens accrédités et ajouts'!F710</f>
        <v>0</v>
      </c>
      <c r="E700" s="182">
        <f>'Examens accrédités et ajouts'!Q710</f>
        <v>0</v>
      </c>
      <c r="F700" s="48">
        <f>'Examens accrédités et ajouts'!L710</f>
        <v>0</v>
      </c>
      <c r="G700" s="48">
        <f>'Examens accrédités et ajouts'!M710</f>
        <v>0</v>
      </c>
    </row>
    <row r="701" spans="1:7" hidden="1" x14ac:dyDescent="0.2">
      <c r="A701" s="48">
        <f>'Examens accrédités et ajouts'!A711</f>
        <v>0</v>
      </c>
      <c r="B701" s="48">
        <f>'Examens accrédités et ajouts'!B711</f>
        <v>0</v>
      </c>
      <c r="C701" s="48">
        <f>'Examens accrédités et ajouts'!E711</f>
        <v>0</v>
      </c>
      <c r="D701" s="48">
        <f>'Examens accrédités et ajouts'!F711</f>
        <v>0</v>
      </c>
      <c r="E701" s="182">
        <f>'Examens accrédités et ajouts'!Q711</f>
        <v>0</v>
      </c>
      <c r="F701" s="48">
        <f>'Examens accrédités et ajouts'!L711</f>
        <v>0</v>
      </c>
      <c r="G701" s="48">
        <f>'Examens accrédités et ajouts'!M711</f>
        <v>0</v>
      </c>
    </row>
    <row r="702" spans="1:7" hidden="1" x14ac:dyDescent="0.2">
      <c r="A702" s="48">
        <f>'Examens accrédités et ajouts'!A712</f>
        <v>0</v>
      </c>
      <c r="B702" s="48">
        <f>'Examens accrédités et ajouts'!B712</f>
        <v>0</v>
      </c>
      <c r="C702" s="48">
        <f>'Examens accrédités et ajouts'!E712</f>
        <v>0</v>
      </c>
      <c r="D702" s="48">
        <f>'Examens accrédités et ajouts'!F712</f>
        <v>0</v>
      </c>
      <c r="E702" s="182">
        <f>'Examens accrédités et ajouts'!Q712</f>
        <v>0</v>
      </c>
      <c r="F702" s="48">
        <f>'Examens accrédités et ajouts'!L712</f>
        <v>0</v>
      </c>
      <c r="G702" s="48">
        <f>'Examens accrédités et ajouts'!M712</f>
        <v>0</v>
      </c>
    </row>
    <row r="703" spans="1:7" hidden="1" x14ac:dyDescent="0.2">
      <c r="A703" s="48">
        <f>'Examens accrédités et ajouts'!A713</f>
        <v>0</v>
      </c>
      <c r="B703" s="48">
        <f>'Examens accrédités et ajouts'!B713</f>
        <v>0</v>
      </c>
      <c r="C703" s="48">
        <f>'Examens accrédités et ajouts'!E713</f>
        <v>0</v>
      </c>
      <c r="D703" s="48">
        <f>'Examens accrédités et ajouts'!F713</f>
        <v>0</v>
      </c>
      <c r="E703" s="182">
        <f>'Examens accrédités et ajouts'!Q713</f>
        <v>0</v>
      </c>
      <c r="F703" s="48">
        <f>'Examens accrédités et ajouts'!L713</f>
        <v>0</v>
      </c>
      <c r="G703" s="48">
        <f>'Examens accrédités et ajouts'!M713</f>
        <v>0</v>
      </c>
    </row>
    <row r="704" spans="1:7" hidden="1" x14ac:dyDescent="0.2">
      <c r="A704" s="48">
        <f>'Examens accrédités et ajouts'!A714</f>
        <v>0</v>
      </c>
      <c r="B704" s="48">
        <f>'Examens accrédités et ajouts'!B714</f>
        <v>0</v>
      </c>
      <c r="C704" s="48">
        <f>'Examens accrédités et ajouts'!E714</f>
        <v>0</v>
      </c>
      <c r="D704" s="48">
        <f>'Examens accrédités et ajouts'!F714</f>
        <v>0</v>
      </c>
      <c r="E704" s="182">
        <f>'Examens accrédités et ajouts'!Q714</f>
        <v>0</v>
      </c>
      <c r="F704" s="48">
        <f>'Examens accrédités et ajouts'!L714</f>
        <v>0</v>
      </c>
      <c r="G704" s="48">
        <f>'Examens accrédités et ajouts'!M714</f>
        <v>0</v>
      </c>
    </row>
    <row r="705" spans="1:7" hidden="1" x14ac:dyDescent="0.2">
      <c r="A705" s="48">
        <f>'Examens accrédités et ajouts'!A715</f>
        <v>0</v>
      </c>
      <c r="B705" s="48">
        <f>'Examens accrédités et ajouts'!B715</f>
        <v>0</v>
      </c>
      <c r="C705" s="48">
        <f>'Examens accrédités et ajouts'!E715</f>
        <v>0</v>
      </c>
      <c r="D705" s="48">
        <f>'Examens accrédités et ajouts'!F715</f>
        <v>0</v>
      </c>
      <c r="E705" s="182">
        <f>'Examens accrédités et ajouts'!Q715</f>
        <v>0</v>
      </c>
      <c r="F705" s="48">
        <f>'Examens accrédités et ajouts'!L715</f>
        <v>0</v>
      </c>
      <c r="G705" s="48">
        <f>'Examens accrédités et ajouts'!M715</f>
        <v>0</v>
      </c>
    </row>
    <row r="706" spans="1:7" hidden="1" x14ac:dyDescent="0.2">
      <c r="A706" s="48">
        <f>'Examens accrédités et ajouts'!A716</f>
        <v>0</v>
      </c>
      <c r="B706" s="48">
        <f>'Examens accrédités et ajouts'!B716</f>
        <v>0</v>
      </c>
      <c r="C706" s="48">
        <f>'Examens accrédités et ajouts'!E716</f>
        <v>0</v>
      </c>
      <c r="D706" s="48">
        <f>'Examens accrédités et ajouts'!F716</f>
        <v>0</v>
      </c>
      <c r="E706" s="182">
        <f>'Examens accrédités et ajouts'!Q716</f>
        <v>0</v>
      </c>
      <c r="F706" s="48">
        <f>'Examens accrédités et ajouts'!L716</f>
        <v>0</v>
      </c>
      <c r="G706" s="48">
        <f>'Examens accrédités et ajouts'!M716</f>
        <v>0</v>
      </c>
    </row>
    <row r="707" spans="1:7" hidden="1" x14ac:dyDescent="0.2">
      <c r="A707" s="48">
        <f>'Examens accrédités et ajouts'!A717</f>
        <v>0</v>
      </c>
      <c r="B707" s="48">
        <f>'Examens accrédités et ajouts'!B717</f>
        <v>0</v>
      </c>
      <c r="C707" s="48">
        <f>'Examens accrédités et ajouts'!E717</f>
        <v>0</v>
      </c>
      <c r="D707" s="48">
        <f>'Examens accrédités et ajouts'!F717</f>
        <v>0</v>
      </c>
      <c r="E707" s="182">
        <f>'Examens accrédités et ajouts'!Q717</f>
        <v>0</v>
      </c>
      <c r="F707" s="48">
        <f>'Examens accrédités et ajouts'!L717</f>
        <v>0</v>
      </c>
      <c r="G707" s="48">
        <f>'Examens accrédités et ajouts'!M717</f>
        <v>0</v>
      </c>
    </row>
    <row r="708" spans="1:7" hidden="1" x14ac:dyDescent="0.2">
      <c r="A708" s="48">
        <f>'Examens accrédités et ajouts'!A718</f>
        <v>0</v>
      </c>
      <c r="B708" s="48">
        <f>'Examens accrédités et ajouts'!B718</f>
        <v>0</v>
      </c>
      <c r="C708" s="48">
        <f>'Examens accrédités et ajouts'!E718</f>
        <v>0</v>
      </c>
      <c r="D708" s="48">
        <f>'Examens accrédités et ajouts'!F718</f>
        <v>0</v>
      </c>
      <c r="E708" s="182">
        <f>'Examens accrédités et ajouts'!Q718</f>
        <v>0</v>
      </c>
      <c r="F708" s="48">
        <f>'Examens accrédités et ajouts'!L718</f>
        <v>0</v>
      </c>
      <c r="G708" s="48">
        <f>'Examens accrédités et ajouts'!M718</f>
        <v>0</v>
      </c>
    </row>
    <row r="709" spans="1:7" hidden="1" x14ac:dyDescent="0.2">
      <c r="A709" s="48">
        <f>'Examens accrédités et ajouts'!A719</f>
        <v>0</v>
      </c>
      <c r="B709" s="48">
        <f>'Examens accrédités et ajouts'!B719</f>
        <v>0</v>
      </c>
      <c r="C709" s="48">
        <f>'Examens accrédités et ajouts'!E719</f>
        <v>0</v>
      </c>
      <c r="D709" s="48">
        <f>'Examens accrédités et ajouts'!F719</f>
        <v>0</v>
      </c>
      <c r="E709" s="182">
        <f>'Examens accrédités et ajouts'!Q719</f>
        <v>0</v>
      </c>
      <c r="F709" s="48">
        <f>'Examens accrédités et ajouts'!L719</f>
        <v>0</v>
      </c>
      <c r="G709" s="48">
        <f>'Examens accrédités et ajouts'!M719</f>
        <v>0</v>
      </c>
    </row>
    <row r="710" spans="1:7" hidden="1" x14ac:dyDescent="0.2">
      <c r="A710" s="48">
        <f>'Examens accrédités et ajouts'!A720</f>
        <v>0</v>
      </c>
      <c r="B710" s="48">
        <f>'Examens accrédités et ajouts'!B720</f>
        <v>0</v>
      </c>
      <c r="C710" s="48">
        <f>'Examens accrédités et ajouts'!E720</f>
        <v>0</v>
      </c>
      <c r="D710" s="48">
        <f>'Examens accrédités et ajouts'!F720</f>
        <v>0</v>
      </c>
      <c r="E710" s="182">
        <f>'Examens accrédités et ajouts'!Q720</f>
        <v>0</v>
      </c>
      <c r="F710" s="48">
        <f>'Examens accrédités et ajouts'!L720</f>
        <v>0</v>
      </c>
      <c r="G710" s="48">
        <f>'Examens accrédités et ajouts'!M720</f>
        <v>0</v>
      </c>
    </row>
    <row r="711" spans="1:7" hidden="1" x14ac:dyDescent="0.2">
      <c r="A711" s="48">
        <f>'Examens accrédités et ajouts'!A721</f>
        <v>0</v>
      </c>
      <c r="B711" s="48">
        <f>'Examens accrédités et ajouts'!B721</f>
        <v>0</v>
      </c>
      <c r="C711" s="48">
        <f>'Examens accrédités et ajouts'!E721</f>
        <v>0</v>
      </c>
      <c r="D711" s="48">
        <f>'Examens accrédités et ajouts'!F721</f>
        <v>0</v>
      </c>
      <c r="E711" s="182">
        <f>'Examens accrédités et ajouts'!Q721</f>
        <v>0</v>
      </c>
      <c r="F711" s="48">
        <f>'Examens accrédités et ajouts'!L721</f>
        <v>0</v>
      </c>
      <c r="G711" s="48">
        <f>'Examens accrédités et ajouts'!M721</f>
        <v>0</v>
      </c>
    </row>
    <row r="712" spans="1:7" hidden="1" x14ac:dyDescent="0.2">
      <c r="A712" s="48">
        <f>'Examens accrédités et ajouts'!A722</f>
        <v>0</v>
      </c>
      <c r="B712" s="48">
        <f>'Examens accrédités et ajouts'!B722</f>
        <v>0</v>
      </c>
      <c r="C712" s="48">
        <f>'Examens accrédités et ajouts'!E722</f>
        <v>0</v>
      </c>
      <c r="D712" s="48">
        <f>'Examens accrédités et ajouts'!F722</f>
        <v>0</v>
      </c>
      <c r="E712" s="182">
        <f>'Examens accrédités et ajouts'!Q722</f>
        <v>0</v>
      </c>
      <c r="F712" s="48">
        <f>'Examens accrédités et ajouts'!L722</f>
        <v>0</v>
      </c>
      <c r="G712" s="48">
        <f>'Examens accrédités et ajouts'!M722</f>
        <v>0</v>
      </c>
    </row>
    <row r="713" spans="1:7" hidden="1" x14ac:dyDescent="0.2">
      <c r="A713" s="48">
        <f>'Examens accrédités et ajouts'!A723</f>
        <v>0</v>
      </c>
      <c r="B713" s="48">
        <f>'Examens accrédités et ajouts'!B723</f>
        <v>0</v>
      </c>
      <c r="C713" s="48">
        <f>'Examens accrédités et ajouts'!E723</f>
        <v>0</v>
      </c>
      <c r="D713" s="48">
        <f>'Examens accrédités et ajouts'!F723</f>
        <v>0</v>
      </c>
      <c r="E713" s="182">
        <f>'Examens accrédités et ajouts'!Q723</f>
        <v>0</v>
      </c>
      <c r="F713" s="48">
        <f>'Examens accrédités et ajouts'!L723</f>
        <v>0</v>
      </c>
      <c r="G713" s="48">
        <f>'Examens accrédités et ajouts'!M723</f>
        <v>0</v>
      </c>
    </row>
    <row r="714" spans="1:7" hidden="1" x14ac:dyDescent="0.2">
      <c r="A714" s="48">
        <f>'Examens accrédités et ajouts'!A724</f>
        <v>0</v>
      </c>
      <c r="B714" s="48">
        <f>'Examens accrédités et ajouts'!B724</f>
        <v>0</v>
      </c>
      <c r="C714" s="48">
        <f>'Examens accrédités et ajouts'!E724</f>
        <v>0</v>
      </c>
      <c r="D714" s="48">
        <f>'Examens accrédités et ajouts'!F724</f>
        <v>0</v>
      </c>
      <c r="E714" s="182">
        <f>'Examens accrédités et ajouts'!Q724</f>
        <v>0</v>
      </c>
      <c r="F714" s="48">
        <f>'Examens accrédités et ajouts'!L724</f>
        <v>0</v>
      </c>
      <c r="G714" s="48">
        <f>'Examens accrédités et ajouts'!M724</f>
        <v>0</v>
      </c>
    </row>
    <row r="715" spans="1:7" hidden="1" x14ac:dyDescent="0.2">
      <c r="A715" s="48">
        <f>'Examens accrédités et ajouts'!A725</f>
        <v>0</v>
      </c>
      <c r="B715" s="48">
        <f>'Examens accrédités et ajouts'!B725</f>
        <v>0</v>
      </c>
      <c r="C715" s="48">
        <f>'Examens accrédités et ajouts'!E725</f>
        <v>0</v>
      </c>
      <c r="D715" s="48">
        <f>'Examens accrédités et ajouts'!F725</f>
        <v>0</v>
      </c>
      <c r="E715" s="182">
        <f>'Examens accrédités et ajouts'!Q725</f>
        <v>0</v>
      </c>
      <c r="F715" s="48">
        <f>'Examens accrédités et ajouts'!L725</f>
        <v>0</v>
      </c>
      <c r="G715" s="48">
        <f>'Examens accrédités et ajouts'!M725</f>
        <v>0</v>
      </c>
    </row>
    <row r="716" spans="1:7" hidden="1" x14ac:dyDescent="0.2">
      <c r="A716" s="48">
        <f>'Examens accrédités et ajouts'!A726</f>
        <v>0</v>
      </c>
      <c r="B716" s="48">
        <f>'Examens accrédités et ajouts'!B726</f>
        <v>0</v>
      </c>
      <c r="C716" s="48">
        <f>'Examens accrédités et ajouts'!E726</f>
        <v>0</v>
      </c>
      <c r="D716" s="48">
        <f>'Examens accrédités et ajouts'!F726</f>
        <v>0</v>
      </c>
      <c r="E716" s="182">
        <f>'Examens accrédités et ajouts'!Q726</f>
        <v>0</v>
      </c>
      <c r="F716" s="48">
        <f>'Examens accrédités et ajouts'!L726</f>
        <v>0</v>
      </c>
      <c r="G716" s="48">
        <f>'Examens accrédités et ajouts'!M726</f>
        <v>0</v>
      </c>
    </row>
    <row r="717" spans="1:7" hidden="1" x14ac:dyDescent="0.2">
      <c r="A717" s="48">
        <f>'Examens accrédités et ajouts'!A727</f>
        <v>0</v>
      </c>
      <c r="B717" s="48">
        <f>'Examens accrédités et ajouts'!B727</f>
        <v>0</v>
      </c>
      <c r="C717" s="48">
        <f>'Examens accrédités et ajouts'!E727</f>
        <v>0</v>
      </c>
      <c r="D717" s="48">
        <f>'Examens accrédités et ajouts'!F727</f>
        <v>0</v>
      </c>
      <c r="E717" s="182">
        <f>'Examens accrédités et ajouts'!Q727</f>
        <v>0</v>
      </c>
      <c r="F717" s="48">
        <f>'Examens accrédités et ajouts'!L727</f>
        <v>0</v>
      </c>
      <c r="G717" s="48">
        <f>'Examens accrédités et ajouts'!M727</f>
        <v>0</v>
      </c>
    </row>
    <row r="718" spans="1:7" hidden="1" x14ac:dyDescent="0.2">
      <c r="A718" s="48">
        <f>'Examens accrédités et ajouts'!A728</f>
        <v>0</v>
      </c>
      <c r="B718" s="48">
        <f>'Examens accrédités et ajouts'!B728</f>
        <v>0</v>
      </c>
      <c r="C718" s="48">
        <f>'Examens accrédités et ajouts'!E728</f>
        <v>0</v>
      </c>
      <c r="D718" s="48">
        <f>'Examens accrédités et ajouts'!F728</f>
        <v>0</v>
      </c>
      <c r="E718" s="182">
        <f>'Examens accrédités et ajouts'!Q728</f>
        <v>0</v>
      </c>
      <c r="F718" s="48">
        <f>'Examens accrédités et ajouts'!L728</f>
        <v>0</v>
      </c>
      <c r="G718" s="48">
        <f>'Examens accrédités et ajouts'!M728</f>
        <v>0</v>
      </c>
    </row>
    <row r="719" spans="1:7" hidden="1" x14ac:dyDescent="0.2">
      <c r="A719" s="48">
        <f>'Examens accrédités et ajouts'!A729</f>
        <v>0</v>
      </c>
      <c r="B719" s="48">
        <f>'Examens accrédités et ajouts'!B729</f>
        <v>0</v>
      </c>
      <c r="C719" s="48">
        <f>'Examens accrédités et ajouts'!E729</f>
        <v>0</v>
      </c>
      <c r="D719" s="48">
        <f>'Examens accrédités et ajouts'!F729</f>
        <v>0</v>
      </c>
      <c r="E719" s="182">
        <f>'Examens accrédités et ajouts'!Q729</f>
        <v>0</v>
      </c>
      <c r="F719" s="48">
        <f>'Examens accrédités et ajouts'!L729</f>
        <v>0</v>
      </c>
      <c r="G719" s="48">
        <f>'Examens accrédités et ajouts'!M729</f>
        <v>0</v>
      </c>
    </row>
    <row r="720" spans="1:7" hidden="1" x14ac:dyDescent="0.2">
      <c r="A720" s="48">
        <f>'Examens accrédités et ajouts'!A730</f>
        <v>0</v>
      </c>
      <c r="B720" s="48">
        <f>'Examens accrédités et ajouts'!B730</f>
        <v>0</v>
      </c>
      <c r="C720" s="48">
        <f>'Examens accrédités et ajouts'!E730</f>
        <v>0</v>
      </c>
      <c r="D720" s="48">
        <f>'Examens accrédités et ajouts'!F730</f>
        <v>0</v>
      </c>
      <c r="E720" s="182">
        <f>'Examens accrédités et ajouts'!Q730</f>
        <v>0</v>
      </c>
      <c r="F720" s="48">
        <f>'Examens accrédités et ajouts'!L730</f>
        <v>0</v>
      </c>
      <c r="G720" s="48">
        <f>'Examens accrédités et ajouts'!M730</f>
        <v>0</v>
      </c>
    </row>
    <row r="721" spans="1:7" hidden="1" x14ac:dyDescent="0.2">
      <c r="A721" s="48">
        <f>'Examens accrédités et ajouts'!A731</f>
        <v>0</v>
      </c>
      <c r="B721" s="48">
        <f>'Examens accrédités et ajouts'!B731</f>
        <v>0</v>
      </c>
      <c r="C721" s="48">
        <f>'Examens accrédités et ajouts'!E731</f>
        <v>0</v>
      </c>
      <c r="D721" s="48">
        <f>'Examens accrédités et ajouts'!F731</f>
        <v>0</v>
      </c>
      <c r="E721" s="182">
        <f>'Examens accrédités et ajouts'!Q731</f>
        <v>0</v>
      </c>
      <c r="F721" s="48">
        <f>'Examens accrédités et ajouts'!L731</f>
        <v>0</v>
      </c>
      <c r="G721" s="48">
        <f>'Examens accrédités et ajouts'!M731</f>
        <v>0</v>
      </c>
    </row>
    <row r="722" spans="1:7" hidden="1" x14ac:dyDescent="0.2">
      <c r="A722" s="48">
        <f>'Examens accrédités et ajouts'!A732</f>
        <v>0</v>
      </c>
      <c r="B722" s="48">
        <f>'Examens accrédités et ajouts'!B732</f>
        <v>0</v>
      </c>
      <c r="C722" s="48">
        <f>'Examens accrédités et ajouts'!E732</f>
        <v>0</v>
      </c>
      <c r="D722" s="48">
        <f>'Examens accrédités et ajouts'!F732</f>
        <v>0</v>
      </c>
      <c r="E722" s="182">
        <f>'Examens accrédités et ajouts'!Q732</f>
        <v>0</v>
      </c>
      <c r="F722" s="48">
        <f>'Examens accrédités et ajouts'!L732</f>
        <v>0</v>
      </c>
      <c r="G722" s="48">
        <f>'Examens accrédités et ajouts'!M732</f>
        <v>0</v>
      </c>
    </row>
    <row r="723" spans="1:7" hidden="1" x14ac:dyDescent="0.2">
      <c r="A723" s="48">
        <f>'Examens accrédités et ajouts'!A733</f>
        <v>0</v>
      </c>
      <c r="B723" s="48">
        <f>'Examens accrédités et ajouts'!B733</f>
        <v>0</v>
      </c>
      <c r="C723" s="48">
        <f>'Examens accrédités et ajouts'!E733</f>
        <v>0</v>
      </c>
      <c r="D723" s="48">
        <f>'Examens accrédités et ajouts'!F733</f>
        <v>0</v>
      </c>
      <c r="E723" s="182">
        <f>'Examens accrédités et ajouts'!Q733</f>
        <v>0</v>
      </c>
      <c r="F723" s="48">
        <f>'Examens accrédités et ajouts'!L733</f>
        <v>0</v>
      </c>
      <c r="G723" s="48">
        <f>'Examens accrédités et ajouts'!M733</f>
        <v>0</v>
      </c>
    </row>
    <row r="724" spans="1:7" hidden="1" x14ac:dyDescent="0.2">
      <c r="A724" s="48">
        <f>'Examens accrédités et ajouts'!A734</f>
        <v>0</v>
      </c>
      <c r="B724" s="48">
        <f>'Examens accrédités et ajouts'!B734</f>
        <v>0</v>
      </c>
      <c r="C724" s="48">
        <f>'Examens accrédités et ajouts'!E734</f>
        <v>0</v>
      </c>
      <c r="D724" s="48">
        <f>'Examens accrédités et ajouts'!F734</f>
        <v>0</v>
      </c>
      <c r="E724" s="182">
        <f>'Examens accrédités et ajouts'!Q734</f>
        <v>0</v>
      </c>
      <c r="F724" s="48">
        <f>'Examens accrédités et ajouts'!L734</f>
        <v>0</v>
      </c>
      <c r="G724" s="48">
        <f>'Examens accrédités et ajouts'!M734</f>
        <v>0</v>
      </c>
    </row>
    <row r="725" spans="1:7" hidden="1" x14ac:dyDescent="0.2">
      <c r="A725" s="48">
        <f>'Examens accrédités et ajouts'!A735</f>
        <v>0</v>
      </c>
      <c r="B725" s="48">
        <f>'Examens accrédités et ajouts'!B735</f>
        <v>0</v>
      </c>
      <c r="C725" s="48">
        <f>'Examens accrédités et ajouts'!E735</f>
        <v>0</v>
      </c>
      <c r="D725" s="48">
        <f>'Examens accrédités et ajouts'!F735</f>
        <v>0</v>
      </c>
      <c r="E725" s="182">
        <f>'Examens accrédités et ajouts'!Q735</f>
        <v>0</v>
      </c>
      <c r="F725" s="48">
        <f>'Examens accrédités et ajouts'!L735</f>
        <v>0</v>
      </c>
      <c r="G725" s="48">
        <f>'Examens accrédités et ajouts'!M735</f>
        <v>0</v>
      </c>
    </row>
    <row r="726" spans="1:7" hidden="1" x14ac:dyDescent="0.2">
      <c r="A726" s="48">
        <f>'Examens accrédités et ajouts'!A736</f>
        <v>0</v>
      </c>
      <c r="B726" s="48">
        <f>'Examens accrédités et ajouts'!B736</f>
        <v>0</v>
      </c>
      <c r="C726" s="48">
        <f>'Examens accrédités et ajouts'!E736</f>
        <v>0</v>
      </c>
      <c r="D726" s="48">
        <f>'Examens accrédités et ajouts'!F736</f>
        <v>0</v>
      </c>
      <c r="E726" s="182">
        <f>'Examens accrédités et ajouts'!Q736</f>
        <v>0</v>
      </c>
      <c r="F726" s="48">
        <f>'Examens accrédités et ajouts'!L736</f>
        <v>0</v>
      </c>
      <c r="G726" s="48">
        <f>'Examens accrédités et ajouts'!M736</f>
        <v>0</v>
      </c>
    </row>
    <row r="727" spans="1:7" hidden="1" x14ac:dyDescent="0.2">
      <c r="A727" s="48">
        <f>'Examens accrédités et ajouts'!A737</f>
        <v>0</v>
      </c>
      <c r="B727" s="48">
        <f>'Examens accrédités et ajouts'!B737</f>
        <v>0</v>
      </c>
      <c r="C727" s="48">
        <f>'Examens accrédités et ajouts'!E737</f>
        <v>0</v>
      </c>
      <c r="D727" s="48">
        <f>'Examens accrédités et ajouts'!F737</f>
        <v>0</v>
      </c>
      <c r="E727" s="182">
        <f>'Examens accrédités et ajouts'!Q737</f>
        <v>0</v>
      </c>
      <c r="F727" s="48">
        <f>'Examens accrédités et ajouts'!L737</f>
        <v>0</v>
      </c>
      <c r="G727" s="48">
        <f>'Examens accrédités et ajouts'!M737</f>
        <v>0</v>
      </c>
    </row>
    <row r="728" spans="1:7" hidden="1" x14ac:dyDescent="0.2">
      <c r="A728" s="48">
        <f>'Examens accrédités et ajouts'!A738</f>
        <v>0</v>
      </c>
      <c r="B728" s="48">
        <f>'Examens accrédités et ajouts'!B738</f>
        <v>0</v>
      </c>
      <c r="C728" s="48">
        <f>'Examens accrédités et ajouts'!E738</f>
        <v>0</v>
      </c>
      <c r="D728" s="48">
        <f>'Examens accrédités et ajouts'!F738</f>
        <v>0</v>
      </c>
      <c r="E728" s="182">
        <f>'Examens accrédités et ajouts'!Q738</f>
        <v>0</v>
      </c>
      <c r="F728" s="48">
        <f>'Examens accrédités et ajouts'!L738</f>
        <v>0</v>
      </c>
      <c r="G728" s="48">
        <f>'Examens accrédités et ajouts'!M738</f>
        <v>0</v>
      </c>
    </row>
    <row r="729" spans="1:7" hidden="1" x14ac:dyDescent="0.2">
      <c r="A729" s="48">
        <f>'Examens accrédités et ajouts'!A739</f>
        <v>0</v>
      </c>
      <c r="B729" s="48">
        <f>'Examens accrédités et ajouts'!B739</f>
        <v>0</v>
      </c>
      <c r="C729" s="48">
        <f>'Examens accrédités et ajouts'!E739</f>
        <v>0</v>
      </c>
      <c r="D729" s="48">
        <f>'Examens accrédités et ajouts'!F739</f>
        <v>0</v>
      </c>
      <c r="E729" s="182">
        <f>'Examens accrédités et ajouts'!Q739</f>
        <v>0</v>
      </c>
      <c r="F729" s="48">
        <f>'Examens accrédités et ajouts'!L739</f>
        <v>0</v>
      </c>
      <c r="G729" s="48">
        <f>'Examens accrédités et ajouts'!M739</f>
        <v>0</v>
      </c>
    </row>
    <row r="730" spans="1:7" hidden="1" x14ac:dyDescent="0.2">
      <c r="A730" s="48">
        <f>'Examens accrédités et ajouts'!A740</f>
        <v>0</v>
      </c>
      <c r="B730" s="48">
        <f>'Examens accrédités et ajouts'!B740</f>
        <v>0</v>
      </c>
      <c r="C730" s="48">
        <f>'Examens accrédités et ajouts'!E740</f>
        <v>0</v>
      </c>
      <c r="D730" s="48">
        <f>'Examens accrédités et ajouts'!F740</f>
        <v>0</v>
      </c>
      <c r="E730" s="182">
        <f>'Examens accrédités et ajouts'!Q740</f>
        <v>0</v>
      </c>
      <c r="F730" s="48">
        <f>'Examens accrédités et ajouts'!L740</f>
        <v>0</v>
      </c>
      <c r="G730" s="48">
        <f>'Examens accrédités et ajouts'!M740</f>
        <v>0</v>
      </c>
    </row>
    <row r="731" spans="1:7" hidden="1" x14ac:dyDescent="0.2">
      <c r="A731" s="48">
        <f>'Examens accrédités et ajouts'!A741</f>
        <v>0</v>
      </c>
      <c r="B731" s="48">
        <f>'Examens accrédités et ajouts'!B741</f>
        <v>0</v>
      </c>
      <c r="C731" s="48">
        <f>'Examens accrédités et ajouts'!E741</f>
        <v>0</v>
      </c>
      <c r="D731" s="48">
        <f>'Examens accrédités et ajouts'!F741</f>
        <v>0</v>
      </c>
      <c r="E731" s="182">
        <f>'Examens accrédités et ajouts'!Q741</f>
        <v>0</v>
      </c>
      <c r="F731" s="48">
        <f>'Examens accrédités et ajouts'!L741</f>
        <v>0</v>
      </c>
      <c r="G731" s="48">
        <f>'Examens accrédités et ajouts'!M741</f>
        <v>0</v>
      </c>
    </row>
    <row r="732" spans="1:7" hidden="1" x14ac:dyDescent="0.2">
      <c r="A732" s="48">
        <f>'Examens accrédités et ajouts'!A742</f>
        <v>0</v>
      </c>
      <c r="B732" s="48">
        <f>'Examens accrédités et ajouts'!B742</f>
        <v>0</v>
      </c>
      <c r="C732" s="48">
        <f>'Examens accrédités et ajouts'!E742</f>
        <v>0</v>
      </c>
      <c r="D732" s="48">
        <f>'Examens accrédités et ajouts'!F742</f>
        <v>0</v>
      </c>
      <c r="E732" s="182">
        <f>'Examens accrédités et ajouts'!Q742</f>
        <v>0</v>
      </c>
      <c r="F732" s="48">
        <f>'Examens accrédités et ajouts'!L742</f>
        <v>0</v>
      </c>
      <c r="G732" s="48">
        <f>'Examens accrédités et ajouts'!M742</f>
        <v>0</v>
      </c>
    </row>
    <row r="733" spans="1:7" hidden="1" x14ac:dyDescent="0.2">
      <c r="A733" s="48">
        <f>'Examens accrédités et ajouts'!A743</f>
        <v>0</v>
      </c>
      <c r="B733" s="48">
        <f>'Examens accrédités et ajouts'!B743</f>
        <v>0</v>
      </c>
      <c r="C733" s="48">
        <f>'Examens accrédités et ajouts'!E743</f>
        <v>0</v>
      </c>
      <c r="D733" s="48">
        <f>'Examens accrédités et ajouts'!F743</f>
        <v>0</v>
      </c>
      <c r="E733" s="182">
        <f>'Examens accrédités et ajouts'!Q743</f>
        <v>0</v>
      </c>
      <c r="F733" s="48">
        <f>'Examens accrédités et ajouts'!L743</f>
        <v>0</v>
      </c>
      <c r="G733" s="48">
        <f>'Examens accrédités et ajouts'!M743</f>
        <v>0</v>
      </c>
    </row>
    <row r="734" spans="1:7" hidden="1" x14ac:dyDescent="0.2">
      <c r="A734" s="48">
        <f>'Examens accrédités et ajouts'!A744</f>
        <v>0</v>
      </c>
      <c r="B734" s="48">
        <f>'Examens accrédités et ajouts'!B744</f>
        <v>0</v>
      </c>
      <c r="C734" s="48">
        <f>'Examens accrédités et ajouts'!E744</f>
        <v>0</v>
      </c>
      <c r="D734" s="48">
        <f>'Examens accrédités et ajouts'!F744</f>
        <v>0</v>
      </c>
      <c r="E734" s="182">
        <f>'Examens accrédités et ajouts'!Q744</f>
        <v>0</v>
      </c>
      <c r="F734" s="48">
        <f>'Examens accrédités et ajouts'!L744</f>
        <v>0</v>
      </c>
      <c r="G734" s="48">
        <f>'Examens accrédités et ajouts'!M744</f>
        <v>0</v>
      </c>
    </row>
    <row r="735" spans="1:7" hidden="1" x14ac:dyDescent="0.2">
      <c r="A735" s="48">
        <f>'Examens accrédités et ajouts'!A745</f>
        <v>0</v>
      </c>
      <c r="B735" s="48">
        <f>'Examens accrédités et ajouts'!B745</f>
        <v>0</v>
      </c>
      <c r="C735" s="48">
        <f>'Examens accrédités et ajouts'!E745</f>
        <v>0</v>
      </c>
      <c r="D735" s="48">
        <f>'Examens accrédités et ajouts'!F745</f>
        <v>0</v>
      </c>
      <c r="E735" s="182">
        <f>'Examens accrédités et ajouts'!Q745</f>
        <v>0</v>
      </c>
      <c r="F735" s="48">
        <f>'Examens accrédités et ajouts'!L745</f>
        <v>0</v>
      </c>
      <c r="G735" s="48">
        <f>'Examens accrédités et ajouts'!M745</f>
        <v>0</v>
      </c>
    </row>
    <row r="736" spans="1:7" hidden="1" x14ac:dyDescent="0.2">
      <c r="A736" s="48">
        <f>'Examens accrédités et ajouts'!A746</f>
        <v>0</v>
      </c>
      <c r="B736" s="48">
        <f>'Examens accrédités et ajouts'!B746</f>
        <v>0</v>
      </c>
      <c r="C736" s="48">
        <f>'Examens accrédités et ajouts'!E746</f>
        <v>0</v>
      </c>
      <c r="D736" s="48">
        <f>'Examens accrédités et ajouts'!F746</f>
        <v>0</v>
      </c>
      <c r="E736" s="182">
        <f>'Examens accrédités et ajouts'!Q746</f>
        <v>0</v>
      </c>
      <c r="F736" s="48">
        <f>'Examens accrédités et ajouts'!L746</f>
        <v>0</v>
      </c>
      <c r="G736" s="48">
        <f>'Examens accrédités et ajouts'!M746</f>
        <v>0</v>
      </c>
    </row>
    <row r="737" spans="1:7" hidden="1" x14ac:dyDescent="0.2">
      <c r="A737" s="48">
        <f>'Examens accrédités et ajouts'!A747</f>
        <v>0</v>
      </c>
      <c r="B737" s="48">
        <f>'Examens accrédités et ajouts'!B747</f>
        <v>0</v>
      </c>
      <c r="C737" s="48">
        <f>'Examens accrédités et ajouts'!E747</f>
        <v>0</v>
      </c>
      <c r="D737" s="48">
        <f>'Examens accrédités et ajouts'!F747</f>
        <v>0</v>
      </c>
      <c r="E737" s="182">
        <f>'Examens accrédités et ajouts'!Q747</f>
        <v>0</v>
      </c>
      <c r="F737" s="48">
        <f>'Examens accrédités et ajouts'!L747</f>
        <v>0</v>
      </c>
      <c r="G737" s="48">
        <f>'Examens accrédités et ajouts'!M747</f>
        <v>0</v>
      </c>
    </row>
    <row r="738" spans="1:7" hidden="1" x14ac:dyDescent="0.2">
      <c r="A738" s="48">
        <f>'Examens accrédités et ajouts'!A748</f>
        <v>0</v>
      </c>
      <c r="B738" s="48">
        <f>'Examens accrédités et ajouts'!B748</f>
        <v>0</v>
      </c>
      <c r="C738" s="48">
        <f>'Examens accrédités et ajouts'!E748</f>
        <v>0</v>
      </c>
      <c r="D738" s="48">
        <f>'Examens accrédités et ajouts'!F748</f>
        <v>0</v>
      </c>
      <c r="E738" s="182">
        <f>'Examens accrédités et ajouts'!Q748</f>
        <v>0</v>
      </c>
      <c r="F738" s="48">
        <f>'Examens accrédités et ajouts'!L748</f>
        <v>0</v>
      </c>
      <c r="G738" s="48">
        <f>'Examens accrédités et ajouts'!M748</f>
        <v>0</v>
      </c>
    </row>
    <row r="739" spans="1:7" hidden="1" x14ac:dyDescent="0.2">
      <c r="A739" s="48">
        <f>'Examens accrédités et ajouts'!A749</f>
        <v>0</v>
      </c>
      <c r="B739" s="48">
        <f>'Examens accrédités et ajouts'!B749</f>
        <v>0</v>
      </c>
      <c r="C739" s="48">
        <f>'Examens accrédités et ajouts'!E749</f>
        <v>0</v>
      </c>
      <c r="D739" s="48">
        <f>'Examens accrédités et ajouts'!F749</f>
        <v>0</v>
      </c>
      <c r="E739" s="182">
        <f>'Examens accrédités et ajouts'!Q749</f>
        <v>0</v>
      </c>
      <c r="F739" s="48">
        <f>'Examens accrédités et ajouts'!L749</f>
        <v>0</v>
      </c>
      <c r="G739" s="48">
        <f>'Examens accrédités et ajouts'!M749</f>
        <v>0</v>
      </c>
    </row>
    <row r="740" spans="1:7" hidden="1" x14ac:dyDescent="0.2">
      <c r="A740" s="48">
        <f>'Examens accrédités et ajouts'!A750</f>
        <v>0</v>
      </c>
      <c r="B740" s="48">
        <f>'Examens accrédités et ajouts'!B750</f>
        <v>0</v>
      </c>
      <c r="C740" s="48">
        <f>'Examens accrédités et ajouts'!E750</f>
        <v>0</v>
      </c>
      <c r="D740" s="48">
        <f>'Examens accrédités et ajouts'!F750</f>
        <v>0</v>
      </c>
      <c r="E740" s="182">
        <f>'Examens accrédités et ajouts'!Q750</f>
        <v>0</v>
      </c>
      <c r="F740" s="48">
        <f>'Examens accrédités et ajouts'!L750</f>
        <v>0</v>
      </c>
      <c r="G740" s="48">
        <f>'Examens accrédités et ajouts'!M750</f>
        <v>0</v>
      </c>
    </row>
    <row r="741" spans="1:7" hidden="1" x14ac:dyDescent="0.2">
      <c r="A741" s="48">
        <f>'Examens accrédités et ajouts'!A751</f>
        <v>0</v>
      </c>
      <c r="B741" s="48">
        <f>'Examens accrédités et ajouts'!B751</f>
        <v>0</v>
      </c>
      <c r="C741" s="48">
        <f>'Examens accrédités et ajouts'!E751</f>
        <v>0</v>
      </c>
      <c r="D741" s="48">
        <f>'Examens accrédités et ajouts'!F751</f>
        <v>0</v>
      </c>
      <c r="E741" s="182">
        <f>'Examens accrédités et ajouts'!Q751</f>
        <v>0</v>
      </c>
      <c r="F741" s="48">
        <f>'Examens accrédités et ajouts'!L751</f>
        <v>0</v>
      </c>
      <c r="G741" s="48">
        <f>'Examens accrédités et ajouts'!M751</f>
        <v>0</v>
      </c>
    </row>
    <row r="742" spans="1:7" hidden="1" x14ac:dyDescent="0.2">
      <c r="A742" s="48">
        <f>'Examens accrédités et ajouts'!A752</f>
        <v>0</v>
      </c>
      <c r="B742" s="48">
        <f>'Examens accrédités et ajouts'!B752</f>
        <v>0</v>
      </c>
      <c r="C742" s="48">
        <f>'Examens accrédités et ajouts'!E752</f>
        <v>0</v>
      </c>
      <c r="D742" s="48">
        <f>'Examens accrédités et ajouts'!F752</f>
        <v>0</v>
      </c>
      <c r="E742" s="182">
        <f>'Examens accrédités et ajouts'!Q752</f>
        <v>0</v>
      </c>
      <c r="F742" s="48">
        <f>'Examens accrédités et ajouts'!L752</f>
        <v>0</v>
      </c>
      <c r="G742" s="48">
        <f>'Examens accrédités et ajouts'!M752</f>
        <v>0</v>
      </c>
    </row>
    <row r="743" spans="1:7" hidden="1" x14ac:dyDescent="0.2">
      <c r="A743" s="48">
        <f>'Examens accrédités et ajouts'!A753</f>
        <v>0</v>
      </c>
      <c r="B743" s="48">
        <f>'Examens accrédités et ajouts'!B753</f>
        <v>0</v>
      </c>
      <c r="C743" s="48">
        <f>'Examens accrédités et ajouts'!E753</f>
        <v>0</v>
      </c>
      <c r="D743" s="48">
        <f>'Examens accrédités et ajouts'!F753</f>
        <v>0</v>
      </c>
      <c r="E743" s="182">
        <f>'Examens accrédités et ajouts'!Q753</f>
        <v>0</v>
      </c>
      <c r="F743" s="48">
        <f>'Examens accrédités et ajouts'!L753</f>
        <v>0</v>
      </c>
      <c r="G743" s="48">
        <f>'Examens accrédités et ajouts'!M753</f>
        <v>0</v>
      </c>
    </row>
    <row r="744" spans="1:7" hidden="1" x14ac:dyDescent="0.2">
      <c r="A744" s="48">
        <f>'Examens accrédités et ajouts'!A754</f>
        <v>0</v>
      </c>
      <c r="B744" s="48">
        <f>'Examens accrédités et ajouts'!B754</f>
        <v>0</v>
      </c>
      <c r="C744" s="48">
        <f>'Examens accrédités et ajouts'!E754</f>
        <v>0</v>
      </c>
      <c r="D744" s="48">
        <f>'Examens accrédités et ajouts'!F754</f>
        <v>0</v>
      </c>
      <c r="E744" s="182">
        <f>'Examens accrédités et ajouts'!Q754</f>
        <v>0</v>
      </c>
      <c r="F744" s="48">
        <f>'Examens accrédités et ajouts'!L754</f>
        <v>0</v>
      </c>
      <c r="G744" s="48">
        <f>'Examens accrédités et ajouts'!M754</f>
        <v>0</v>
      </c>
    </row>
    <row r="745" spans="1:7" hidden="1" x14ac:dyDescent="0.2">
      <c r="A745" s="48">
        <f>'Examens accrédités et ajouts'!A755</f>
        <v>0</v>
      </c>
      <c r="B745" s="48">
        <f>'Examens accrédités et ajouts'!B755</f>
        <v>0</v>
      </c>
      <c r="C745" s="48">
        <f>'Examens accrédités et ajouts'!E755</f>
        <v>0</v>
      </c>
      <c r="D745" s="48">
        <f>'Examens accrédités et ajouts'!F755</f>
        <v>0</v>
      </c>
      <c r="E745" s="182">
        <f>'Examens accrédités et ajouts'!Q755</f>
        <v>0</v>
      </c>
      <c r="F745" s="48">
        <f>'Examens accrédités et ajouts'!L755</f>
        <v>0</v>
      </c>
      <c r="G745" s="48">
        <f>'Examens accrédités et ajouts'!M755</f>
        <v>0</v>
      </c>
    </row>
    <row r="746" spans="1:7" hidden="1" x14ac:dyDescent="0.2">
      <c r="A746" s="48">
        <f>'Examens accrédités et ajouts'!A756</f>
        <v>0</v>
      </c>
      <c r="B746" s="48">
        <f>'Examens accrédités et ajouts'!B756</f>
        <v>0</v>
      </c>
      <c r="C746" s="48">
        <f>'Examens accrédités et ajouts'!E756</f>
        <v>0</v>
      </c>
      <c r="D746" s="48">
        <f>'Examens accrédités et ajouts'!F756</f>
        <v>0</v>
      </c>
      <c r="E746" s="182">
        <f>'Examens accrédités et ajouts'!Q756</f>
        <v>0</v>
      </c>
      <c r="F746" s="48">
        <f>'Examens accrédités et ajouts'!L756</f>
        <v>0</v>
      </c>
      <c r="G746" s="48">
        <f>'Examens accrédités et ajouts'!M756</f>
        <v>0</v>
      </c>
    </row>
    <row r="747" spans="1:7" hidden="1" x14ac:dyDescent="0.2">
      <c r="A747" s="48">
        <f>'Examens accrédités et ajouts'!A757</f>
        <v>0</v>
      </c>
      <c r="B747" s="48">
        <f>'Examens accrédités et ajouts'!B757</f>
        <v>0</v>
      </c>
      <c r="C747" s="48">
        <f>'Examens accrédités et ajouts'!E757</f>
        <v>0</v>
      </c>
      <c r="D747" s="48">
        <f>'Examens accrédités et ajouts'!F757</f>
        <v>0</v>
      </c>
      <c r="E747" s="182">
        <f>'Examens accrédités et ajouts'!Q757</f>
        <v>0</v>
      </c>
      <c r="F747" s="48">
        <f>'Examens accrédités et ajouts'!L757</f>
        <v>0</v>
      </c>
      <c r="G747" s="48">
        <f>'Examens accrédités et ajouts'!M757</f>
        <v>0</v>
      </c>
    </row>
    <row r="748" spans="1:7" hidden="1" x14ac:dyDescent="0.2">
      <c r="A748" s="48">
        <f>'Examens accrédités et ajouts'!A758</f>
        <v>0</v>
      </c>
      <c r="B748" s="48">
        <f>'Examens accrédités et ajouts'!B758</f>
        <v>0</v>
      </c>
      <c r="C748" s="48">
        <f>'Examens accrédités et ajouts'!E758</f>
        <v>0</v>
      </c>
      <c r="D748" s="48">
        <f>'Examens accrédités et ajouts'!F758</f>
        <v>0</v>
      </c>
      <c r="E748" s="182">
        <f>'Examens accrédités et ajouts'!Q758</f>
        <v>0</v>
      </c>
      <c r="F748" s="48">
        <f>'Examens accrédités et ajouts'!L758</f>
        <v>0</v>
      </c>
      <c r="G748" s="48">
        <f>'Examens accrédités et ajouts'!M758</f>
        <v>0</v>
      </c>
    </row>
    <row r="749" spans="1:7" hidden="1" x14ac:dyDescent="0.2">
      <c r="A749" s="48">
        <f>'Examens accrédités et ajouts'!A759</f>
        <v>0</v>
      </c>
      <c r="B749" s="48">
        <f>'Examens accrédités et ajouts'!B759</f>
        <v>0</v>
      </c>
      <c r="C749" s="48">
        <f>'Examens accrédités et ajouts'!E759</f>
        <v>0</v>
      </c>
      <c r="D749" s="48">
        <f>'Examens accrédités et ajouts'!F759</f>
        <v>0</v>
      </c>
      <c r="E749" s="182">
        <f>'Examens accrédités et ajouts'!Q759</f>
        <v>0</v>
      </c>
      <c r="F749" s="48">
        <f>'Examens accrédités et ajouts'!L759</f>
        <v>0</v>
      </c>
      <c r="G749" s="48">
        <f>'Examens accrédités et ajouts'!M759</f>
        <v>0</v>
      </c>
    </row>
    <row r="750" spans="1:7" hidden="1" x14ac:dyDescent="0.2">
      <c r="A750" s="48">
        <f>'Examens accrédités et ajouts'!A760</f>
        <v>0</v>
      </c>
      <c r="B750" s="48">
        <f>'Examens accrédités et ajouts'!B760</f>
        <v>0</v>
      </c>
      <c r="C750" s="48">
        <f>'Examens accrédités et ajouts'!E760</f>
        <v>0</v>
      </c>
      <c r="D750" s="48">
        <f>'Examens accrédités et ajouts'!F760</f>
        <v>0</v>
      </c>
      <c r="E750" s="182">
        <f>'Examens accrédités et ajouts'!Q760</f>
        <v>0</v>
      </c>
      <c r="F750" s="48">
        <f>'Examens accrédités et ajouts'!L760</f>
        <v>0</v>
      </c>
      <c r="G750" s="48">
        <f>'Examens accrédités et ajouts'!M760</f>
        <v>0</v>
      </c>
    </row>
    <row r="751" spans="1:7" hidden="1" x14ac:dyDescent="0.2">
      <c r="A751" s="48">
        <f>'Examens accrédités et ajouts'!A761</f>
        <v>0</v>
      </c>
      <c r="B751" s="48">
        <f>'Examens accrédités et ajouts'!B761</f>
        <v>0</v>
      </c>
      <c r="C751" s="48">
        <f>'Examens accrédités et ajouts'!E761</f>
        <v>0</v>
      </c>
      <c r="D751" s="48">
        <f>'Examens accrédités et ajouts'!F761</f>
        <v>0</v>
      </c>
      <c r="E751" s="182">
        <f>'Examens accrédités et ajouts'!Q761</f>
        <v>0</v>
      </c>
      <c r="F751" s="48">
        <f>'Examens accrédités et ajouts'!L761</f>
        <v>0</v>
      </c>
      <c r="G751" s="48">
        <f>'Examens accrédités et ajouts'!M761</f>
        <v>0</v>
      </c>
    </row>
    <row r="752" spans="1:7" hidden="1" x14ac:dyDescent="0.2">
      <c r="A752" s="48">
        <f>'Examens accrédités et ajouts'!A762</f>
        <v>0</v>
      </c>
      <c r="B752" s="48">
        <f>'Examens accrédités et ajouts'!B762</f>
        <v>0</v>
      </c>
      <c r="C752" s="48">
        <f>'Examens accrédités et ajouts'!E762</f>
        <v>0</v>
      </c>
      <c r="D752" s="48">
        <f>'Examens accrédités et ajouts'!F762</f>
        <v>0</v>
      </c>
      <c r="E752" s="182">
        <f>'Examens accrédités et ajouts'!Q762</f>
        <v>0</v>
      </c>
      <c r="F752" s="48">
        <f>'Examens accrédités et ajouts'!L762</f>
        <v>0</v>
      </c>
      <c r="G752" s="48">
        <f>'Examens accrédités et ajouts'!M762</f>
        <v>0</v>
      </c>
    </row>
    <row r="753" spans="1:7" hidden="1" x14ac:dyDescent="0.2">
      <c r="A753" s="48">
        <f>'Examens accrédités et ajouts'!A763</f>
        <v>0</v>
      </c>
      <c r="B753" s="48">
        <f>'Examens accrédités et ajouts'!B763</f>
        <v>0</v>
      </c>
      <c r="C753" s="48">
        <f>'Examens accrédités et ajouts'!E763</f>
        <v>0</v>
      </c>
      <c r="D753" s="48">
        <f>'Examens accrédités et ajouts'!F763</f>
        <v>0</v>
      </c>
      <c r="E753" s="182">
        <f>'Examens accrédités et ajouts'!Q763</f>
        <v>0</v>
      </c>
      <c r="F753" s="48">
        <f>'Examens accrédités et ajouts'!L763</f>
        <v>0</v>
      </c>
      <c r="G753" s="48">
        <f>'Examens accrédités et ajouts'!M763</f>
        <v>0</v>
      </c>
    </row>
    <row r="754" spans="1:7" hidden="1" x14ac:dyDescent="0.2">
      <c r="A754" s="48">
        <f>'Examens accrédités et ajouts'!A764</f>
        <v>0</v>
      </c>
      <c r="B754" s="48">
        <f>'Examens accrédités et ajouts'!B764</f>
        <v>0</v>
      </c>
      <c r="C754" s="48">
        <f>'Examens accrédités et ajouts'!E764</f>
        <v>0</v>
      </c>
      <c r="D754" s="48">
        <f>'Examens accrédités et ajouts'!F764</f>
        <v>0</v>
      </c>
      <c r="E754" s="182">
        <f>'Examens accrédités et ajouts'!Q764</f>
        <v>0</v>
      </c>
      <c r="F754" s="48">
        <f>'Examens accrédités et ajouts'!L764</f>
        <v>0</v>
      </c>
      <c r="G754" s="48">
        <f>'Examens accrédités et ajouts'!M764</f>
        <v>0</v>
      </c>
    </row>
    <row r="755" spans="1:7" hidden="1" x14ac:dyDescent="0.2">
      <c r="A755" s="48">
        <f>'Examens accrédités et ajouts'!A765</f>
        <v>0</v>
      </c>
      <c r="B755" s="48">
        <f>'Examens accrédités et ajouts'!B765</f>
        <v>0</v>
      </c>
      <c r="C755" s="48">
        <f>'Examens accrédités et ajouts'!E765</f>
        <v>0</v>
      </c>
      <c r="D755" s="48">
        <f>'Examens accrédités et ajouts'!F765</f>
        <v>0</v>
      </c>
      <c r="E755" s="182">
        <f>'Examens accrédités et ajouts'!Q765</f>
        <v>0</v>
      </c>
      <c r="F755" s="48">
        <f>'Examens accrédités et ajouts'!L765</f>
        <v>0</v>
      </c>
      <c r="G755" s="48">
        <f>'Examens accrédités et ajouts'!M765</f>
        <v>0</v>
      </c>
    </row>
    <row r="756" spans="1:7" hidden="1" x14ac:dyDescent="0.2">
      <c r="A756" s="48">
        <f>'Examens accrédités et ajouts'!A766</f>
        <v>0</v>
      </c>
      <c r="B756" s="48">
        <f>'Examens accrédités et ajouts'!B766</f>
        <v>0</v>
      </c>
      <c r="C756" s="48">
        <f>'Examens accrédités et ajouts'!E766</f>
        <v>0</v>
      </c>
      <c r="D756" s="48">
        <f>'Examens accrédités et ajouts'!F766</f>
        <v>0</v>
      </c>
      <c r="E756" s="182">
        <f>'Examens accrédités et ajouts'!Q766</f>
        <v>0</v>
      </c>
      <c r="F756" s="48">
        <f>'Examens accrédités et ajouts'!L766</f>
        <v>0</v>
      </c>
      <c r="G756" s="48">
        <f>'Examens accrédités et ajouts'!M766</f>
        <v>0</v>
      </c>
    </row>
    <row r="757" spans="1:7" hidden="1" x14ac:dyDescent="0.2">
      <c r="A757" s="48">
        <f>'Examens accrédités et ajouts'!A767</f>
        <v>0</v>
      </c>
      <c r="B757" s="48">
        <f>'Examens accrédités et ajouts'!B767</f>
        <v>0</v>
      </c>
      <c r="C757" s="48">
        <f>'Examens accrédités et ajouts'!E767</f>
        <v>0</v>
      </c>
      <c r="D757" s="48">
        <f>'Examens accrédités et ajouts'!F767</f>
        <v>0</v>
      </c>
      <c r="E757" s="182">
        <f>'Examens accrédités et ajouts'!Q767</f>
        <v>0</v>
      </c>
      <c r="F757" s="48">
        <f>'Examens accrédités et ajouts'!L767</f>
        <v>0</v>
      </c>
      <c r="G757" s="48">
        <f>'Examens accrédités et ajouts'!M767</f>
        <v>0</v>
      </c>
    </row>
    <row r="758" spans="1:7" hidden="1" x14ac:dyDescent="0.2">
      <c r="A758" s="48">
        <f>'Examens accrédités et ajouts'!A768</f>
        <v>0</v>
      </c>
      <c r="B758" s="48">
        <f>'Examens accrédités et ajouts'!B768</f>
        <v>0</v>
      </c>
      <c r="C758" s="48">
        <f>'Examens accrédités et ajouts'!E768</f>
        <v>0</v>
      </c>
      <c r="D758" s="48">
        <f>'Examens accrédités et ajouts'!F768</f>
        <v>0</v>
      </c>
      <c r="E758" s="182">
        <f>'Examens accrédités et ajouts'!Q768</f>
        <v>0</v>
      </c>
      <c r="F758" s="48">
        <f>'Examens accrédités et ajouts'!L768</f>
        <v>0</v>
      </c>
      <c r="G758" s="48">
        <f>'Examens accrédités et ajouts'!M768</f>
        <v>0</v>
      </c>
    </row>
    <row r="759" spans="1:7" hidden="1" x14ac:dyDescent="0.2">
      <c r="A759" s="48">
        <f>'Examens accrédités et ajouts'!A769</f>
        <v>0</v>
      </c>
      <c r="B759" s="48">
        <f>'Examens accrédités et ajouts'!B769</f>
        <v>0</v>
      </c>
      <c r="C759" s="48">
        <f>'Examens accrédités et ajouts'!E769</f>
        <v>0</v>
      </c>
      <c r="D759" s="48">
        <f>'Examens accrédités et ajouts'!F769</f>
        <v>0</v>
      </c>
      <c r="E759" s="182">
        <f>'Examens accrédités et ajouts'!Q769</f>
        <v>0</v>
      </c>
      <c r="F759" s="48">
        <f>'Examens accrédités et ajouts'!L769</f>
        <v>0</v>
      </c>
      <c r="G759" s="48">
        <f>'Examens accrédités et ajouts'!M769</f>
        <v>0</v>
      </c>
    </row>
    <row r="760" spans="1:7" hidden="1" x14ac:dyDescent="0.2">
      <c r="A760" s="48">
        <f>'Examens accrédités et ajouts'!A770</f>
        <v>0</v>
      </c>
      <c r="B760" s="48">
        <f>'Examens accrédités et ajouts'!B770</f>
        <v>0</v>
      </c>
      <c r="C760" s="48">
        <f>'Examens accrédités et ajouts'!E770</f>
        <v>0</v>
      </c>
      <c r="D760" s="48">
        <f>'Examens accrédités et ajouts'!F770</f>
        <v>0</v>
      </c>
      <c r="E760" s="182">
        <f>'Examens accrédités et ajouts'!Q770</f>
        <v>0</v>
      </c>
      <c r="F760" s="48">
        <f>'Examens accrédités et ajouts'!L770</f>
        <v>0</v>
      </c>
      <c r="G760" s="48">
        <f>'Examens accrédités et ajouts'!M770</f>
        <v>0</v>
      </c>
    </row>
    <row r="761" spans="1:7" hidden="1" x14ac:dyDescent="0.2">
      <c r="A761" s="48">
        <f>'Examens accrédités et ajouts'!A771</f>
        <v>0</v>
      </c>
      <c r="B761" s="48">
        <f>'Examens accrédités et ajouts'!B771</f>
        <v>0</v>
      </c>
      <c r="C761" s="48">
        <f>'Examens accrédités et ajouts'!E771</f>
        <v>0</v>
      </c>
      <c r="D761" s="48">
        <f>'Examens accrédités et ajouts'!F771</f>
        <v>0</v>
      </c>
      <c r="E761" s="182">
        <f>'Examens accrédités et ajouts'!Q771</f>
        <v>0</v>
      </c>
      <c r="F761" s="48">
        <f>'Examens accrédités et ajouts'!L771</f>
        <v>0</v>
      </c>
      <c r="G761" s="48">
        <f>'Examens accrédités et ajouts'!M771</f>
        <v>0</v>
      </c>
    </row>
    <row r="762" spans="1:7" hidden="1" x14ac:dyDescent="0.2">
      <c r="A762" s="48">
        <f>'Examens accrédités et ajouts'!A772</f>
        <v>0</v>
      </c>
      <c r="B762" s="48">
        <f>'Examens accrédités et ajouts'!B772</f>
        <v>0</v>
      </c>
      <c r="C762" s="48">
        <f>'Examens accrédités et ajouts'!E772</f>
        <v>0</v>
      </c>
      <c r="D762" s="48">
        <f>'Examens accrédités et ajouts'!F772</f>
        <v>0</v>
      </c>
      <c r="E762" s="182">
        <f>'Examens accrédités et ajouts'!Q772</f>
        <v>0</v>
      </c>
      <c r="F762" s="48">
        <f>'Examens accrédités et ajouts'!L772</f>
        <v>0</v>
      </c>
      <c r="G762" s="48">
        <f>'Examens accrédités et ajouts'!M772</f>
        <v>0</v>
      </c>
    </row>
    <row r="763" spans="1:7" hidden="1" x14ac:dyDescent="0.2">
      <c r="A763" s="48">
        <f>'Examens accrédités et ajouts'!A773</f>
        <v>0</v>
      </c>
      <c r="B763" s="48">
        <f>'Examens accrédités et ajouts'!B773</f>
        <v>0</v>
      </c>
      <c r="C763" s="48">
        <f>'Examens accrédités et ajouts'!E773</f>
        <v>0</v>
      </c>
      <c r="D763" s="48">
        <f>'Examens accrédités et ajouts'!F773</f>
        <v>0</v>
      </c>
      <c r="E763" s="182">
        <f>'Examens accrédités et ajouts'!Q773</f>
        <v>0</v>
      </c>
      <c r="F763" s="48">
        <f>'Examens accrédités et ajouts'!L773</f>
        <v>0</v>
      </c>
      <c r="G763" s="48">
        <f>'Examens accrédités et ajouts'!M773</f>
        <v>0</v>
      </c>
    </row>
    <row r="764" spans="1:7" hidden="1" x14ac:dyDescent="0.2">
      <c r="A764" s="48">
        <f>'Examens accrédités et ajouts'!A774</f>
        <v>0</v>
      </c>
      <c r="B764" s="48">
        <f>'Examens accrédités et ajouts'!B774</f>
        <v>0</v>
      </c>
      <c r="C764" s="48">
        <f>'Examens accrédités et ajouts'!E774</f>
        <v>0</v>
      </c>
      <c r="D764" s="48">
        <f>'Examens accrédités et ajouts'!F774</f>
        <v>0</v>
      </c>
      <c r="E764" s="182">
        <f>'Examens accrédités et ajouts'!Q774</f>
        <v>0</v>
      </c>
      <c r="F764" s="48">
        <f>'Examens accrédités et ajouts'!L774</f>
        <v>0</v>
      </c>
      <c r="G764" s="48">
        <f>'Examens accrédités et ajouts'!M774</f>
        <v>0</v>
      </c>
    </row>
    <row r="765" spans="1:7" hidden="1" x14ac:dyDescent="0.2">
      <c r="A765" s="48"/>
      <c r="B765" s="48">
        <f>'Examens accrédités et ajouts'!B788</f>
        <v>0</v>
      </c>
      <c r="C765" s="48">
        <f>'Examens accrédités et ajouts'!E788</f>
        <v>0</v>
      </c>
      <c r="D765" s="48">
        <f>'Examens accrédités et ajouts'!F788</f>
        <v>0</v>
      </c>
      <c r="E765" s="182">
        <f>'Examens accrédités et ajouts'!Q788</f>
        <v>0</v>
      </c>
      <c r="F765" s="48">
        <f>'Examens accrédités et ajouts'!L788</f>
        <v>0</v>
      </c>
      <c r="G765" s="48">
        <f>'Examens accrédités et ajouts'!M788</f>
        <v>0</v>
      </c>
    </row>
    <row r="766" spans="1:7" hidden="1" x14ac:dyDescent="0.2">
      <c r="A766" s="48"/>
      <c r="B766" s="48">
        <f>'Examens accrédités et ajouts'!B789</f>
        <v>0</v>
      </c>
      <c r="C766" s="48">
        <f>'Examens accrédités et ajouts'!E789</f>
        <v>0</v>
      </c>
      <c r="D766" s="48">
        <f>'Examens accrédités et ajouts'!F789</f>
        <v>0</v>
      </c>
      <c r="E766" s="182">
        <f>'Examens accrédités et ajouts'!Q789</f>
        <v>0</v>
      </c>
      <c r="F766" s="48">
        <f>'Examens accrédités et ajouts'!L789</f>
        <v>0</v>
      </c>
      <c r="G766" s="48">
        <f>'Examens accrédités et ajouts'!M789</f>
        <v>0</v>
      </c>
    </row>
    <row r="767" spans="1:7" hidden="1" x14ac:dyDescent="0.2">
      <c r="A767" s="48"/>
      <c r="B767" s="48">
        <f>'Examens accrédités et ajouts'!B790</f>
        <v>0</v>
      </c>
      <c r="C767" s="48">
        <f>'Examens accrédités et ajouts'!E790</f>
        <v>0</v>
      </c>
      <c r="D767" s="48">
        <f>'Examens accrédités et ajouts'!F790</f>
        <v>0</v>
      </c>
      <c r="E767" s="182">
        <f>'Examens accrédités et ajouts'!Q790</f>
        <v>0</v>
      </c>
      <c r="F767" s="48">
        <f>'Examens accrédités et ajouts'!L790</f>
        <v>0</v>
      </c>
      <c r="G767" s="48">
        <f>'Examens accrédités et ajouts'!M790</f>
        <v>0</v>
      </c>
    </row>
    <row r="768" spans="1:7" hidden="1" x14ac:dyDescent="0.2">
      <c r="A768" s="48"/>
      <c r="B768" s="48">
        <f>'Examens accrédités et ajouts'!B791</f>
        <v>0</v>
      </c>
      <c r="C768" s="48">
        <f>'Examens accrédités et ajouts'!E791</f>
        <v>0</v>
      </c>
      <c r="D768" s="48">
        <f>'Examens accrédités et ajouts'!F791</f>
        <v>0</v>
      </c>
      <c r="E768" s="182">
        <f>'Examens accrédités et ajouts'!Q791</f>
        <v>0</v>
      </c>
      <c r="F768" s="48">
        <f>'Examens accrédités et ajouts'!L791</f>
        <v>0</v>
      </c>
      <c r="G768" s="48">
        <f>'Examens accrédités et ajouts'!M791</f>
        <v>0</v>
      </c>
    </row>
    <row r="769" spans="1:7" x14ac:dyDescent="0.2">
      <c r="A769" s="48"/>
      <c r="B769" s="48"/>
      <c r="C769" s="48"/>
      <c r="D769" s="48"/>
      <c r="E769" s="48"/>
      <c r="F769" s="48"/>
      <c r="G769" s="48"/>
    </row>
    <row r="770" spans="1:7" x14ac:dyDescent="0.2">
      <c r="A770" s="48"/>
      <c r="B770" s="48"/>
      <c r="C770" s="48"/>
      <c r="D770" s="48"/>
      <c r="E770" s="48"/>
      <c r="F770" s="48"/>
      <c r="G770" s="48"/>
    </row>
    <row r="771" spans="1:7" x14ac:dyDescent="0.2">
      <c r="A771" s="48"/>
      <c r="B771" s="48"/>
      <c r="C771" s="48"/>
      <c r="D771" s="48"/>
      <c r="E771" s="48"/>
      <c r="F771" s="48"/>
      <c r="G771" s="48"/>
    </row>
    <row r="772" spans="1:7" x14ac:dyDescent="0.2">
      <c r="A772" s="48"/>
      <c r="B772" s="48"/>
      <c r="C772" s="48"/>
      <c r="D772" s="48"/>
      <c r="E772" s="48"/>
      <c r="F772" s="48"/>
      <c r="G772" s="48"/>
    </row>
    <row r="773" spans="1:7" x14ac:dyDescent="0.2">
      <c r="A773" s="48"/>
      <c r="B773" s="48"/>
      <c r="C773" s="48"/>
      <c r="D773" s="48"/>
      <c r="E773" s="48"/>
      <c r="F773" s="48"/>
      <c r="G773" s="48"/>
    </row>
    <row r="774" spans="1:7" x14ac:dyDescent="0.2">
      <c r="A774" s="48"/>
      <c r="B774" s="48"/>
      <c r="C774" s="48"/>
      <c r="D774" s="48"/>
      <c r="E774" s="48"/>
      <c r="F774" s="48"/>
      <c r="G774" s="48"/>
    </row>
    <row r="775" spans="1:7" x14ac:dyDescent="0.2">
      <c r="A775" s="48"/>
      <c r="B775" s="48"/>
      <c r="C775" s="48"/>
      <c r="D775" s="48"/>
      <c r="E775" s="48"/>
      <c r="F775" s="48"/>
      <c r="G775" s="48"/>
    </row>
    <row r="776" spans="1:7" x14ac:dyDescent="0.2">
      <c r="A776" s="48"/>
      <c r="B776" s="48"/>
      <c r="C776" s="48"/>
      <c r="D776" s="48"/>
      <c r="E776" s="48"/>
      <c r="F776" s="48"/>
      <c r="G776" s="48"/>
    </row>
    <row r="777" spans="1:7" x14ac:dyDescent="0.2">
      <c r="A777" s="48"/>
      <c r="B777" s="48"/>
      <c r="C777" s="48"/>
      <c r="D777" s="48"/>
      <c r="E777" s="48"/>
      <c r="F777" s="48"/>
      <c r="G777" s="48"/>
    </row>
    <row r="778" spans="1:7" x14ac:dyDescent="0.2">
      <c r="A778" s="48"/>
      <c r="B778" s="48"/>
      <c r="C778" s="48"/>
      <c r="D778" s="48"/>
      <c r="E778" s="48"/>
      <c r="F778" s="48"/>
      <c r="G778" s="48"/>
    </row>
    <row r="779" spans="1:7" x14ac:dyDescent="0.2">
      <c r="A779" s="48"/>
      <c r="B779" s="48"/>
      <c r="C779" s="48"/>
      <c r="D779" s="48"/>
      <c r="E779" s="48"/>
      <c r="F779" s="48"/>
      <c r="G779" s="48"/>
    </row>
    <row r="780" spans="1:7" x14ac:dyDescent="0.2">
      <c r="A780" s="48"/>
      <c r="B780" s="48"/>
      <c r="C780" s="48"/>
      <c r="D780" s="48"/>
      <c r="E780" s="48"/>
      <c r="F780" s="48"/>
      <c r="G780" s="48"/>
    </row>
    <row r="781" spans="1:7" x14ac:dyDescent="0.2">
      <c r="A781" s="48"/>
      <c r="B781" s="48"/>
      <c r="C781" s="48"/>
      <c r="D781" s="48"/>
      <c r="E781" s="48"/>
      <c r="F781" s="48"/>
      <c r="G781" s="48"/>
    </row>
    <row r="782" spans="1:7" x14ac:dyDescent="0.2">
      <c r="A782" s="48"/>
      <c r="B782" s="48"/>
      <c r="C782" s="48"/>
      <c r="D782" s="48"/>
      <c r="E782" s="48"/>
      <c r="F782" s="48"/>
      <c r="G782" s="48"/>
    </row>
  </sheetData>
  <autoFilter ref="A1:G768">
    <filterColumn colId="1">
      <filters>
        <filter val="Biochimie Métabolique"/>
      </filters>
    </filterColumn>
  </autoFilter>
  <pageMargins left="0.7" right="0.7" top="0.75" bottom="0.75" header="0.3" footer="0.3"/>
  <pageSetup paperSize="9" scale="6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7"/>
  <sheetViews>
    <sheetView topLeftCell="A40" zoomScale="80" zoomScaleNormal="80" workbookViewId="0">
      <selection activeCell="F47" sqref="F47"/>
    </sheetView>
  </sheetViews>
  <sheetFormatPr baseColWidth="10" defaultRowHeight="12.75" x14ac:dyDescent="0.2"/>
  <cols>
    <col min="1" max="1" width="38.5703125" bestFit="1" customWidth="1"/>
    <col min="2" max="3" width="31.28515625" customWidth="1"/>
    <col min="4" max="4" width="34.7109375" customWidth="1"/>
    <col min="5" max="5" width="27.5703125" customWidth="1"/>
    <col min="6" max="6" width="60" customWidth="1"/>
    <col min="7" max="7" width="34" customWidth="1"/>
    <col min="8" max="8" width="45.140625" customWidth="1"/>
    <col min="9" max="9" width="6.28515625" bestFit="1" customWidth="1"/>
  </cols>
  <sheetData>
    <row r="1" spans="1:9" ht="36" x14ac:dyDescent="0.2">
      <c r="A1" s="181" t="s">
        <v>1450</v>
      </c>
      <c r="B1" s="181" t="s">
        <v>1461</v>
      </c>
      <c r="C1" s="181" t="s">
        <v>1451</v>
      </c>
      <c r="D1" s="181" t="s">
        <v>14</v>
      </c>
      <c r="E1" s="181" t="s">
        <v>1452</v>
      </c>
      <c r="F1" s="181" t="s">
        <v>1453</v>
      </c>
      <c r="G1" s="181" t="s">
        <v>1454</v>
      </c>
      <c r="H1" s="181" t="s">
        <v>1455</v>
      </c>
      <c r="I1" s="181" t="s">
        <v>1743</v>
      </c>
    </row>
    <row r="2" spans="1:9" ht="63.75" x14ac:dyDescent="0.2">
      <c r="A2" s="251" t="s">
        <v>20</v>
      </c>
      <c r="B2" s="250" t="s">
        <v>20</v>
      </c>
      <c r="C2" s="250" t="s">
        <v>1687</v>
      </c>
      <c r="D2" t="s">
        <v>108</v>
      </c>
      <c r="E2" t="s">
        <v>1428</v>
      </c>
      <c r="F2" t="s">
        <v>1688</v>
      </c>
      <c r="G2" t="s">
        <v>1689</v>
      </c>
      <c r="H2" s="250" t="s">
        <v>1690</v>
      </c>
      <c r="I2" s="170" t="s">
        <v>1744</v>
      </c>
    </row>
    <row r="3" spans="1:9" ht="63.75" x14ac:dyDescent="0.2">
      <c r="A3" s="251" t="s">
        <v>20</v>
      </c>
      <c r="B3" s="250" t="s">
        <v>20</v>
      </c>
      <c r="C3" s="250" t="s">
        <v>1687</v>
      </c>
      <c r="D3" s="251" t="s">
        <v>113</v>
      </c>
      <c r="E3" t="s">
        <v>1428</v>
      </c>
      <c r="F3" s="251" t="s">
        <v>1691</v>
      </c>
      <c r="G3" s="251" t="s">
        <v>1689</v>
      </c>
      <c r="H3" s="250" t="s">
        <v>1690</v>
      </c>
      <c r="I3" s="170" t="s">
        <v>1744</v>
      </c>
    </row>
    <row r="4" spans="1:9" ht="63.75" x14ac:dyDescent="0.2">
      <c r="A4" s="251" t="s">
        <v>20</v>
      </c>
      <c r="B4" s="250" t="s">
        <v>20</v>
      </c>
      <c r="C4" s="250" t="s">
        <v>1687</v>
      </c>
      <c r="D4" t="s">
        <v>1429</v>
      </c>
      <c r="E4" t="s">
        <v>1430</v>
      </c>
      <c r="F4" t="s">
        <v>1688</v>
      </c>
      <c r="G4" t="s">
        <v>1689</v>
      </c>
      <c r="H4" s="250" t="s">
        <v>1690</v>
      </c>
      <c r="I4" s="170" t="s">
        <v>1744</v>
      </c>
    </row>
    <row r="5" spans="1:9" ht="63.75" x14ac:dyDescent="0.2">
      <c r="A5" s="251" t="s">
        <v>20</v>
      </c>
      <c r="B5" s="250" t="s">
        <v>20</v>
      </c>
      <c r="C5" s="250" t="s">
        <v>1687</v>
      </c>
      <c r="D5" t="s">
        <v>1431</v>
      </c>
      <c r="E5" t="s">
        <v>1430</v>
      </c>
      <c r="F5" t="s">
        <v>1688</v>
      </c>
      <c r="G5" t="s">
        <v>1689</v>
      </c>
      <c r="H5" s="250" t="s">
        <v>1690</v>
      </c>
      <c r="I5" s="170" t="s">
        <v>1744</v>
      </c>
    </row>
    <row r="6" spans="1:9" ht="63.75" x14ac:dyDescent="0.2">
      <c r="A6" s="251" t="s">
        <v>20</v>
      </c>
      <c r="B6" s="250" t="s">
        <v>20</v>
      </c>
      <c r="C6" s="250" t="s">
        <v>1687</v>
      </c>
      <c r="D6" t="s">
        <v>1432</v>
      </c>
      <c r="E6" t="s">
        <v>1430</v>
      </c>
      <c r="F6" t="s">
        <v>1692</v>
      </c>
      <c r="G6" t="s">
        <v>1689</v>
      </c>
      <c r="H6" s="250" t="s">
        <v>1690</v>
      </c>
      <c r="I6" s="170" t="s">
        <v>1744</v>
      </c>
    </row>
    <row r="7" spans="1:9" ht="63.75" x14ac:dyDescent="0.2">
      <c r="A7" s="251" t="s">
        <v>20</v>
      </c>
      <c r="B7" s="250" t="s">
        <v>20</v>
      </c>
      <c r="C7" s="250" t="s">
        <v>1687</v>
      </c>
      <c r="D7" t="s">
        <v>1433</v>
      </c>
      <c r="E7" t="s">
        <v>1430</v>
      </c>
      <c r="F7" t="s">
        <v>1692</v>
      </c>
      <c r="G7" t="s">
        <v>1689</v>
      </c>
      <c r="H7" s="250" t="s">
        <v>1690</v>
      </c>
      <c r="I7" s="170" t="s">
        <v>1744</v>
      </c>
    </row>
    <row r="8" spans="1:9" ht="63.75" x14ac:dyDescent="0.2">
      <c r="A8" s="251" t="s">
        <v>20</v>
      </c>
      <c r="B8" s="250" t="s">
        <v>20</v>
      </c>
      <c r="C8" s="250" t="s">
        <v>1687</v>
      </c>
      <c r="D8" t="s">
        <v>1434</v>
      </c>
      <c r="E8" t="s">
        <v>1430</v>
      </c>
      <c r="F8" t="s">
        <v>1692</v>
      </c>
      <c r="G8" t="s">
        <v>1689</v>
      </c>
      <c r="H8" s="250" t="s">
        <v>1690</v>
      </c>
      <c r="I8" s="170" t="s">
        <v>1744</v>
      </c>
    </row>
    <row r="9" spans="1:9" ht="63.75" x14ac:dyDescent="0.2">
      <c r="A9" s="251" t="s">
        <v>20</v>
      </c>
      <c r="B9" s="250" t="s">
        <v>20</v>
      </c>
      <c r="C9" s="250" t="s">
        <v>1687</v>
      </c>
      <c r="D9" s="90" t="s">
        <v>1435</v>
      </c>
      <c r="E9" t="s">
        <v>1430</v>
      </c>
      <c r="F9" t="s">
        <v>1693</v>
      </c>
      <c r="G9" t="s">
        <v>1689</v>
      </c>
      <c r="H9" s="250" t="s">
        <v>1690</v>
      </c>
      <c r="I9" s="170" t="s">
        <v>1744</v>
      </c>
    </row>
    <row r="10" spans="1:9" s="90" customFormat="1" ht="76.5" x14ac:dyDescent="0.2">
      <c r="A10" s="390" t="s">
        <v>20</v>
      </c>
      <c r="B10" s="391" t="s">
        <v>20</v>
      </c>
      <c r="C10" s="391" t="s">
        <v>1695</v>
      </c>
      <c r="D10" s="390" t="s">
        <v>108</v>
      </c>
      <c r="E10" s="390" t="s">
        <v>1428</v>
      </c>
      <c r="F10" s="391" t="s">
        <v>1696</v>
      </c>
      <c r="G10" s="390" t="s">
        <v>1700</v>
      </c>
      <c r="H10" s="390" t="s">
        <v>1701</v>
      </c>
      <c r="I10" s="392" t="s">
        <v>1744</v>
      </c>
    </row>
    <row r="11" spans="1:9" s="90" customFormat="1" ht="63.75" x14ac:dyDescent="0.2">
      <c r="A11" s="390" t="s">
        <v>20</v>
      </c>
      <c r="B11" s="391" t="s">
        <v>20</v>
      </c>
      <c r="C11" s="391" t="s">
        <v>1695</v>
      </c>
      <c r="D11" s="390" t="s">
        <v>113</v>
      </c>
      <c r="E11" s="390" t="s">
        <v>1428</v>
      </c>
      <c r="F11" s="391" t="s">
        <v>1697</v>
      </c>
      <c r="G11" s="390" t="s">
        <v>1700</v>
      </c>
      <c r="H11" s="390" t="s">
        <v>1701</v>
      </c>
      <c r="I11" s="392" t="s">
        <v>1744</v>
      </c>
    </row>
    <row r="12" spans="1:9" s="90" customFormat="1" ht="76.5" x14ac:dyDescent="0.2">
      <c r="A12" s="390" t="s">
        <v>20</v>
      </c>
      <c r="B12" s="391" t="s">
        <v>20</v>
      </c>
      <c r="C12" s="391" t="s">
        <v>1695</v>
      </c>
      <c r="D12" s="390" t="s">
        <v>1429</v>
      </c>
      <c r="E12" s="390" t="s">
        <v>1430</v>
      </c>
      <c r="F12" s="391" t="s">
        <v>1696</v>
      </c>
      <c r="G12" s="390" t="s">
        <v>1700</v>
      </c>
      <c r="H12" s="390" t="s">
        <v>1701</v>
      </c>
      <c r="I12" s="392" t="s">
        <v>1744</v>
      </c>
    </row>
    <row r="13" spans="1:9" s="90" customFormat="1" ht="76.5" x14ac:dyDescent="0.2">
      <c r="A13" s="390" t="s">
        <v>20</v>
      </c>
      <c r="B13" s="391" t="s">
        <v>20</v>
      </c>
      <c r="C13" s="391" t="s">
        <v>1695</v>
      </c>
      <c r="D13" s="390" t="s">
        <v>1431</v>
      </c>
      <c r="E13" s="390" t="s">
        <v>1430</v>
      </c>
      <c r="F13" s="391" t="s">
        <v>1696</v>
      </c>
      <c r="G13" s="390" t="s">
        <v>1700</v>
      </c>
      <c r="H13" s="390" t="s">
        <v>1701</v>
      </c>
      <c r="I13" s="392" t="s">
        <v>1744</v>
      </c>
    </row>
    <row r="14" spans="1:9" s="90" customFormat="1" ht="63.75" x14ac:dyDescent="0.2">
      <c r="A14" s="390" t="s">
        <v>20</v>
      </c>
      <c r="B14" s="391" t="s">
        <v>20</v>
      </c>
      <c r="C14" s="391" t="s">
        <v>1695</v>
      </c>
      <c r="D14" s="390" t="s">
        <v>1432</v>
      </c>
      <c r="E14" s="390" t="s">
        <v>1430</v>
      </c>
      <c r="F14" s="391" t="s">
        <v>1698</v>
      </c>
      <c r="G14" s="390" t="s">
        <v>1700</v>
      </c>
      <c r="H14" s="390" t="s">
        <v>1701</v>
      </c>
      <c r="I14" s="392" t="s">
        <v>1744</v>
      </c>
    </row>
    <row r="15" spans="1:9" s="90" customFormat="1" ht="63.75" x14ac:dyDescent="0.2">
      <c r="A15" s="390" t="s">
        <v>20</v>
      </c>
      <c r="B15" s="391" t="s">
        <v>20</v>
      </c>
      <c r="C15" s="391" t="s">
        <v>1695</v>
      </c>
      <c r="D15" s="390" t="s">
        <v>1433</v>
      </c>
      <c r="E15" s="390" t="s">
        <v>1430</v>
      </c>
      <c r="F15" s="391" t="s">
        <v>1698</v>
      </c>
      <c r="G15" s="390" t="s">
        <v>1700</v>
      </c>
      <c r="H15" s="390" t="s">
        <v>1701</v>
      </c>
      <c r="I15" s="392" t="s">
        <v>1744</v>
      </c>
    </row>
    <row r="16" spans="1:9" s="90" customFormat="1" ht="63.75" x14ac:dyDescent="0.2">
      <c r="A16" s="390" t="s">
        <v>20</v>
      </c>
      <c r="B16" s="391" t="s">
        <v>20</v>
      </c>
      <c r="C16" s="391" t="s">
        <v>1695</v>
      </c>
      <c r="D16" s="390" t="s">
        <v>1434</v>
      </c>
      <c r="E16" s="390" t="s">
        <v>1430</v>
      </c>
      <c r="F16" s="391" t="s">
        <v>1698</v>
      </c>
      <c r="G16" s="390" t="s">
        <v>1700</v>
      </c>
      <c r="H16" s="390" t="s">
        <v>1701</v>
      </c>
      <c r="I16" s="392" t="s">
        <v>1744</v>
      </c>
    </row>
    <row r="17" spans="1:9" s="90" customFormat="1" ht="51" x14ac:dyDescent="0.2">
      <c r="A17" s="390" t="s">
        <v>20</v>
      </c>
      <c r="B17" s="391" t="s">
        <v>20</v>
      </c>
      <c r="C17" s="391" t="s">
        <v>1695</v>
      </c>
      <c r="D17" s="390" t="s">
        <v>1435</v>
      </c>
      <c r="E17" s="390" t="s">
        <v>1430</v>
      </c>
      <c r="F17" s="391" t="s">
        <v>1699</v>
      </c>
      <c r="G17" s="390" t="s">
        <v>1700</v>
      </c>
      <c r="H17" s="390" t="s">
        <v>1701</v>
      </c>
      <c r="I17" s="392" t="s">
        <v>1744</v>
      </c>
    </row>
    <row r="18" spans="1:9" s="90" customFormat="1" ht="76.5" x14ac:dyDescent="0.2">
      <c r="A18" s="390" t="s">
        <v>20</v>
      </c>
      <c r="B18" s="391" t="s">
        <v>20</v>
      </c>
      <c r="C18" s="391" t="s">
        <v>1708</v>
      </c>
      <c r="D18" s="390" t="s">
        <v>108</v>
      </c>
      <c r="E18" s="390" t="s">
        <v>1428</v>
      </c>
      <c r="F18" s="391" t="s">
        <v>1702</v>
      </c>
      <c r="G18" s="390" t="s">
        <v>1707</v>
      </c>
      <c r="H18" s="390" t="s">
        <v>1701</v>
      </c>
      <c r="I18" s="392" t="s">
        <v>1744</v>
      </c>
    </row>
    <row r="19" spans="1:9" s="90" customFormat="1" ht="63.75" x14ac:dyDescent="0.2">
      <c r="A19" s="390" t="s">
        <v>20</v>
      </c>
      <c r="B19" s="391" t="s">
        <v>20</v>
      </c>
      <c r="C19" s="391" t="s">
        <v>1708</v>
      </c>
      <c r="D19" s="390" t="s">
        <v>113</v>
      </c>
      <c r="E19" s="390" t="s">
        <v>1428</v>
      </c>
      <c r="F19" s="391" t="s">
        <v>1703</v>
      </c>
      <c r="G19" s="390" t="s">
        <v>1707</v>
      </c>
      <c r="H19" s="390" t="s">
        <v>1701</v>
      </c>
      <c r="I19" s="392" t="s">
        <v>1744</v>
      </c>
    </row>
    <row r="20" spans="1:9" s="90" customFormat="1" ht="76.5" x14ac:dyDescent="0.2">
      <c r="A20" s="390" t="s">
        <v>20</v>
      </c>
      <c r="B20" s="391" t="s">
        <v>20</v>
      </c>
      <c r="C20" s="391" t="s">
        <v>1708</v>
      </c>
      <c r="D20" s="390" t="s">
        <v>1429</v>
      </c>
      <c r="E20" s="390" t="s">
        <v>1430</v>
      </c>
      <c r="F20" s="391" t="s">
        <v>1702</v>
      </c>
      <c r="G20" s="390" t="s">
        <v>1707</v>
      </c>
      <c r="H20" s="390" t="s">
        <v>1701</v>
      </c>
      <c r="I20" s="392" t="s">
        <v>1744</v>
      </c>
    </row>
    <row r="21" spans="1:9" s="90" customFormat="1" ht="76.5" x14ac:dyDescent="0.2">
      <c r="A21" s="390" t="s">
        <v>20</v>
      </c>
      <c r="B21" s="391" t="s">
        <v>20</v>
      </c>
      <c r="C21" s="391" t="s">
        <v>1708</v>
      </c>
      <c r="D21" s="390" t="s">
        <v>1431</v>
      </c>
      <c r="E21" s="390" t="s">
        <v>1430</v>
      </c>
      <c r="F21" s="391" t="s">
        <v>1702</v>
      </c>
      <c r="G21" s="390" t="s">
        <v>1707</v>
      </c>
      <c r="H21" s="390" t="s">
        <v>1701</v>
      </c>
      <c r="I21" s="392" t="s">
        <v>1744</v>
      </c>
    </row>
    <row r="22" spans="1:9" s="90" customFormat="1" ht="51" x14ac:dyDescent="0.2">
      <c r="A22" s="390" t="s">
        <v>20</v>
      </c>
      <c r="B22" s="391" t="s">
        <v>20</v>
      </c>
      <c r="C22" s="391" t="s">
        <v>1708</v>
      </c>
      <c r="D22" s="390" t="s">
        <v>1432</v>
      </c>
      <c r="E22" s="390" t="s">
        <v>1430</v>
      </c>
      <c r="F22" s="391" t="s">
        <v>1704</v>
      </c>
      <c r="G22" s="390" t="s">
        <v>1707</v>
      </c>
      <c r="H22" s="390" t="s">
        <v>1701</v>
      </c>
      <c r="I22" s="392" t="s">
        <v>1744</v>
      </c>
    </row>
    <row r="23" spans="1:9" s="90" customFormat="1" ht="63.75" x14ac:dyDescent="0.2">
      <c r="A23" s="390" t="s">
        <v>20</v>
      </c>
      <c r="B23" s="391" t="s">
        <v>20</v>
      </c>
      <c r="C23" s="391" t="s">
        <v>1708</v>
      </c>
      <c r="D23" s="390" t="s">
        <v>1433</v>
      </c>
      <c r="E23" s="390" t="s">
        <v>1430</v>
      </c>
      <c r="F23" s="391" t="s">
        <v>1705</v>
      </c>
      <c r="G23" s="390" t="s">
        <v>1707</v>
      </c>
      <c r="H23" s="390" t="s">
        <v>1701</v>
      </c>
      <c r="I23" s="392" t="s">
        <v>1744</v>
      </c>
    </row>
    <row r="24" spans="1:9" s="90" customFormat="1" ht="63.75" x14ac:dyDescent="0.2">
      <c r="A24" s="390" t="s">
        <v>20</v>
      </c>
      <c r="B24" s="391" t="s">
        <v>20</v>
      </c>
      <c r="C24" s="391" t="s">
        <v>1708</v>
      </c>
      <c r="D24" s="390" t="s">
        <v>1434</v>
      </c>
      <c r="E24" s="390" t="s">
        <v>1430</v>
      </c>
      <c r="F24" s="391" t="s">
        <v>1705</v>
      </c>
      <c r="G24" s="390" t="s">
        <v>1707</v>
      </c>
      <c r="H24" s="390" t="s">
        <v>1701</v>
      </c>
      <c r="I24" s="392" t="s">
        <v>1744</v>
      </c>
    </row>
    <row r="25" spans="1:9" s="90" customFormat="1" ht="51" x14ac:dyDescent="0.2">
      <c r="A25" s="390" t="s">
        <v>20</v>
      </c>
      <c r="B25" s="391" t="s">
        <v>20</v>
      </c>
      <c r="C25" s="391" t="s">
        <v>1708</v>
      </c>
      <c r="D25" s="390" t="s">
        <v>1435</v>
      </c>
      <c r="E25" s="390" t="s">
        <v>1430</v>
      </c>
      <c r="F25" s="391" t="s">
        <v>1706</v>
      </c>
      <c r="G25" s="390" t="s">
        <v>1707</v>
      </c>
      <c r="H25" s="390" t="s">
        <v>1701</v>
      </c>
      <c r="I25" s="392" t="s">
        <v>1744</v>
      </c>
    </row>
    <row r="26" spans="1:9" s="90" customFormat="1" ht="76.5" x14ac:dyDescent="0.2">
      <c r="A26" s="390" t="s">
        <v>20</v>
      </c>
      <c r="B26" s="391" t="s">
        <v>20</v>
      </c>
      <c r="C26" s="391" t="s">
        <v>1716</v>
      </c>
      <c r="D26" s="390" t="s">
        <v>108</v>
      </c>
      <c r="E26" s="390" t="s">
        <v>1428</v>
      </c>
      <c r="F26" s="391" t="s">
        <v>1717</v>
      </c>
      <c r="G26" s="390" t="s">
        <v>1723</v>
      </c>
      <c r="H26" s="390" t="s">
        <v>1701</v>
      </c>
      <c r="I26" s="392" t="s">
        <v>1744</v>
      </c>
    </row>
    <row r="27" spans="1:9" s="90" customFormat="1" ht="51" x14ac:dyDescent="0.2">
      <c r="A27" s="390" t="s">
        <v>20</v>
      </c>
      <c r="B27" s="391" t="s">
        <v>20</v>
      </c>
      <c r="C27" s="391" t="s">
        <v>1716</v>
      </c>
      <c r="D27" s="390" t="s">
        <v>113</v>
      </c>
      <c r="E27" s="390" t="s">
        <v>1428</v>
      </c>
      <c r="F27" s="391" t="s">
        <v>1718</v>
      </c>
      <c r="G27" s="390" t="s">
        <v>1723</v>
      </c>
      <c r="H27" s="390" t="s">
        <v>1701</v>
      </c>
      <c r="I27" s="392" t="s">
        <v>1744</v>
      </c>
    </row>
    <row r="28" spans="1:9" s="90" customFormat="1" ht="63.75" x14ac:dyDescent="0.2">
      <c r="A28" s="390" t="s">
        <v>20</v>
      </c>
      <c r="B28" s="391" t="s">
        <v>20</v>
      </c>
      <c r="C28" s="391" t="s">
        <v>1716</v>
      </c>
      <c r="D28" s="390" t="s">
        <v>1429</v>
      </c>
      <c r="E28" s="390" t="s">
        <v>1430</v>
      </c>
      <c r="F28" s="391" t="s">
        <v>1719</v>
      </c>
      <c r="G28" s="390" t="s">
        <v>1723</v>
      </c>
      <c r="H28" s="390" t="s">
        <v>1701</v>
      </c>
      <c r="I28" s="392" t="s">
        <v>1744</v>
      </c>
    </row>
    <row r="29" spans="1:9" s="90" customFormat="1" ht="63.75" x14ac:dyDescent="0.2">
      <c r="A29" s="390" t="s">
        <v>20</v>
      </c>
      <c r="B29" s="391" t="s">
        <v>20</v>
      </c>
      <c r="C29" s="391" t="s">
        <v>1716</v>
      </c>
      <c r="D29" s="390" t="s">
        <v>1431</v>
      </c>
      <c r="E29" s="390" t="s">
        <v>1430</v>
      </c>
      <c r="F29" s="391" t="s">
        <v>1719</v>
      </c>
      <c r="G29" s="390" t="s">
        <v>1723</v>
      </c>
      <c r="H29" s="390" t="s">
        <v>1701</v>
      </c>
      <c r="I29" s="392" t="s">
        <v>1744</v>
      </c>
    </row>
    <row r="30" spans="1:9" s="90" customFormat="1" ht="51" x14ac:dyDescent="0.2">
      <c r="A30" s="390" t="s">
        <v>20</v>
      </c>
      <c r="B30" s="391" t="s">
        <v>20</v>
      </c>
      <c r="C30" s="391" t="s">
        <v>1716</v>
      </c>
      <c r="D30" s="390" t="s">
        <v>1432</v>
      </c>
      <c r="E30" s="390" t="s">
        <v>1430</v>
      </c>
      <c r="F30" s="391" t="s">
        <v>1720</v>
      </c>
      <c r="G30" s="390" t="s">
        <v>1723</v>
      </c>
      <c r="H30" s="390" t="s">
        <v>1701</v>
      </c>
      <c r="I30" s="392" t="s">
        <v>1744</v>
      </c>
    </row>
    <row r="31" spans="1:9" s="90" customFormat="1" ht="63.75" x14ac:dyDescent="0.2">
      <c r="A31" s="390" t="s">
        <v>20</v>
      </c>
      <c r="B31" s="391" t="s">
        <v>20</v>
      </c>
      <c r="C31" s="391" t="s">
        <v>1716</v>
      </c>
      <c r="D31" s="390" t="s">
        <v>1433</v>
      </c>
      <c r="E31" s="390" t="s">
        <v>1430</v>
      </c>
      <c r="F31" s="391" t="s">
        <v>1721</v>
      </c>
      <c r="G31" s="390" t="s">
        <v>1723</v>
      </c>
      <c r="H31" s="390" t="s">
        <v>1701</v>
      </c>
      <c r="I31" s="392" t="s">
        <v>1744</v>
      </c>
    </row>
    <row r="32" spans="1:9" s="90" customFormat="1" ht="51" x14ac:dyDescent="0.2">
      <c r="A32" s="390" t="s">
        <v>20</v>
      </c>
      <c r="B32" s="391" t="s">
        <v>20</v>
      </c>
      <c r="C32" s="391" t="s">
        <v>1716</v>
      </c>
      <c r="D32" s="390" t="s">
        <v>1434</v>
      </c>
      <c r="E32" s="390" t="s">
        <v>1430</v>
      </c>
      <c r="F32" s="391" t="s">
        <v>1720</v>
      </c>
      <c r="G32" s="390" t="s">
        <v>1723</v>
      </c>
      <c r="H32" s="390" t="s">
        <v>1701</v>
      </c>
      <c r="I32" s="392" t="s">
        <v>1744</v>
      </c>
    </row>
    <row r="33" spans="1:9" s="90" customFormat="1" ht="51" x14ac:dyDescent="0.2">
      <c r="A33" s="390" t="s">
        <v>20</v>
      </c>
      <c r="B33" s="391" t="s">
        <v>20</v>
      </c>
      <c r="C33" s="391" t="s">
        <v>1716</v>
      </c>
      <c r="D33" s="390" t="s">
        <v>1435</v>
      </c>
      <c r="E33" s="390" t="s">
        <v>1430</v>
      </c>
      <c r="F33" s="391" t="s">
        <v>1722</v>
      </c>
      <c r="G33" s="390" t="s">
        <v>1723</v>
      </c>
      <c r="H33" s="390" t="s">
        <v>1701</v>
      </c>
      <c r="I33" s="392" t="s">
        <v>1744</v>
      </c>
    </row>
    <row r="34" spans="1:9" s="90" customFormat="1" ht="76.5" x14ac:dyDescent="0.2">
      <c r="A34" s="390" t="s">
        <v>20</v>
      </c>
      <c r="B34" s="391" t="s">
        <v>20</v>
      </c>
      <c r="C34" s="391" t="s">
        <v>1736</v>
      </c>
      <c r="D34" s="390" t="s">
        <v>108</v>
      </c>
      <c r="E34" s="390" t="s">
        <v>1428</v>
      </c>
      <c r="F34" s="391" t="s">
        <v>1737</v>
      </c>
      <c r="G34" s="390" t="s">
        <v>1815</v>
      </c>
      <c r="H34" s="390" t="s">
        <v>1701</v>
      </c>
      <c r="I34" s="392" t="s">
        <v>1744</v>
      </c>
    </row>
    <row r="35" spans="1:9" s="90" customFormat="1" ht="51" x14ac:dyDescent="0.2">
      <c r="A35" s="390" t="s">
        <v>20</v>
      </c>
      <c r="B35" s="391" t="s">
        <v>20</v>
      </c>
      <c r="C35" s="391" t="s">
        <v>1736</v>
      </c>
      <c r="D35" s="390" t="s">
        <v>113</v>
      </c>
      <c r="E35" s="390" t="s">
        <v>1428</v>
      </c>
      <c r="F35" s="391" t="s">
        <v>1742</v>
      </c>
      <c r="G35" s="390" t="s">
        <v>1815</v>
      </c>
      <c r="H35" s="390" t="s">
        <v>1701</v>
      </c>
      <c r="I35" s="392" t="s">
        <v>1744</v>
      </c>
    </row>
    <row r="36" spans="1:9" s="90" customFormat="1" ht="63.75" x14ac:dyDescent="0.2">
      <c r="A36" s="390" t="s">
        <v>20</v>
      </c>
      <c r="B36" s="391" t="s">
        <v>20</v>
      </c>
      <c r="C36" s="391" t="s">
        <v>1736</v>
      </c>
      <c r="D36" s="390" t="s">
        <v>1429</v>
      </c>
      <c r="E36" s="390" t="s">
        <v>1430</v>
      </c>
      <c r="F36" s="391" t="s">
        <v>1738</v>
      </c>
      <c r="G36" s="390" t="s">
        <v>1815</v>
      </c>
      <c r="H36" s="390" t="s">
        <v>1701</v>
      </c>
      <c r="I36" s="392" t="s">
        <v>1744</v>
      </c>
    </row>
    <row r="37" spans="1:9" s="90" customFormat="1" ht="63.75" x14ac:dyDescent="0.2">
      <c r="A37" s="390" t="s">
        <v>20</v>
      </c>
      <c r="B37" s="391" t="s">
        <v>20</v>
      </c>
      <c r="C37" s="391" t="s">
        <v>1736</v>
      </c>
      <c r="D37" s="390" t="s">
        <v>1431</v>
      </c>
      <c r="E37" s="390" t="s">
        <v>1430</v>
      </c>
      <c r="F37" s="391" t="s">
        <v>1738</v>
      </c>
      <c r="G37" s="390" t="s">
        <v>1815</v>
      </c>
      <c r="H37" s="390" t="s">
        <v>1701</v>
      </c>
      <c r="I37" s="392" t="s">
        <v>1744</v>
      </c>
    </row>
    <row r="38" spans="1:9" s="90" customFormat="1" ht="51" x14ac:dyDescent="0.2">
      <c r="A38" s="390" t="s">
        <v>20</v>
      </c>
      <c r="B38" s="391" t="s">
        <v>20</v>
      </c>
      <c r="C38" s="391" t="s">
        <v>1736</v>
      </c>
      <c r="D38" s="390" t="s">
        <v>1432</v>
      </c>
      <c r="E38" s="390" t="s">
        <v>1430</v>
      </c>
      <c r="F38" s="391" t="s">
        <v>1739</v>
      </c>
      <c r="G38" s="390" t="s">
        <v>1815</v>
      </c>
      <c r="H38" s="390" t="s">
        <v>1701</v>
      </c>
      <c r="I38" s="392" t="s">
        <v>1744</v>
      </c>
    </row>
    <row r="39" spans="1:9" s="90" customFormat="1" ht="63.75" x14ac:dyDescent="0.2">
      <c r="A39" s="390" t="s">
        <v>20</v>
      </c>
      <c r="B39" s="391" t="s">
        <v>20</v>
      </c>
      <c r="C39" s="391" t="s">
        <v>1736</v>
      </c>
      <c r="D39" s="390" t="s">
        <v>1433</v>
      </c>
      <c r="E39" s="390" t="s">
        <v>1430</v>
      </c>
      <c r="F39" s="391" t="s">
        <v>1740</v>
      </c>
      <c r="G39" s="390" t="s">
        <v>1815</v>
      </c>
      <c r="H39" s="390" t="s">
        <v>1701</v>
      </c>
      <c r="I39" s="392" t="s">
        <v>1744</v>
      </c>
    </row>
    <row r="40" spans="1:9" s="90" customFormat="1" ht="51" x14ac:dyDescent="0.2">
      <c r="A40" s="390" t="s">
        <v>20</v>
      </c>
      <c r="B40" s="391" t="s">
        <v>20</v>
      </c>
      <c r="C40" s="391" t="s">
        <v>1736</v>
      </c>
      <c r="D40" s="390" t="s">
        <v>1434</v>
      </c>
      <c r="E40" s="390" t="s">
        <v>1430</v>
      </c>
      <c r="F40" s="391" t="s">
        <v>1739</v>
      </c>
      <c r="G40" s="390" t="s">
        <v>1815</v>
      </c>
      <c r="H40" s="390" t="s">
        <v>1701</v>
      </c>
      <c r="I40" s="392" t="s">
        <v>1744</v>
      </c>
    </row>
    <row r="41" spans="1:9" s="90" customFormat="1" ht="51" x14ac:dyDescent="0.2">
      <c r="A41" s="390" t="s">
        <v>20</v>
      </c>
      <c r="B41" s="391" t="s">
        <v>20</v>
      </c>
      <c r="C41" s="391" t="s">
        <v>1736</v>
      </c>
      <c r="D41" s="390" t="s">
        <v>1435</v>
      </c>
      <c r="E41" s="390" t="s">
        <v>1430</v>
      </c>
      <c r="F41" s="391" t="s">
        <v>1741</v>
      </c>
      <c r="G41" s="390" t="s">
        <v>1815</v>
      </c>
      <c r="H41" s="390" t="s">
        <v>1701</v>
      </c>
      <c r="I41" s="392" t="s">
        <v>1744</v>
      </c>
    </row>
    <row r="42" spans="1:9" s="90" customFormat="1" ht="76.5" x14ac:dyDescent="0.2">
      <c r="A42" s="390" t="s">
        <v>20</v>
      </c>
      <c r="B42" s="391" t="s">
        <v>20</v>
      </c>
      <c r="C42" s="391" t="s">
        <v>1816</v>
      </c>
      <c r="D42" s="390" t="s">
        <v>108</v>
      </c>
      <c r="E42" s="390" t="s">
        <v>1428</v>
      </c>
      <c r="F42" s="391" t="s">
        <v>1818</v>
      </c>
      <c r="G42" s="390" t="s">
        <v>1817</v>
      </c>
      <c r="H42" s="390" t="s">
        <v>1701</v>
      </c>
      <c r="I42" s="392"/>
    </row>
    <row r="43" spans="1:9" s="90" customFormat="1" ht="51" x14ac:dyDescent="0.2">
      <c r="A43" s="390" t="s">
        <v>20</v>
      </c>
      <c r="B43" s="391" t="s">
        <v>20</v>
      </c>
      <c r="C43" s="391" t="s">
        <v>1816</v>
      </c>
      <c r="D43" s="390" t="s">
        <v>113</v>
      </c>
      <c r="E43" s="390" t="s">
        <v>1428</v>
      </c>
      <c r="F43" s="391" t="s">
        <v>1819</v>
      </c>
      <c r="G43" s="390" t="s">
        <v>1817</v>
      </c>
      <c r="H43" s="390" t="s">
        <v>1701</v>
      </c>
      <c r="I43" s="392"/>
    </row>
    <row r="44" spans="1:9" s="90" customFormat="1" ht="63.75" x14ac:dyDescent="0.2">
      <c r="A44" s="390" t="s">
        <v>20</v>
      </c>
      <c r="B44" s="391" t="s">
        <v>20</v>
      </c>
      <c r="C44" s="391" t="s">
        <v>1816</v>
      </c>
      <c r="D44" s="390" t="s">
        <v>1429</v>
      </c>
      <c r="E44" s="390" t="s">
        <v>1430</v>
      </c>
      <c r="F44" s="391" t="s">
        <v>1738</v>
      </c>
      <c r="G44" s="390" t="s">
        <v>1817</v>
      </c>
      <c r="H44" s="390" t="s">
        <v>1701</v>
      </c>
      <c r="I44" s="392"/>
    </row>
    <row r="45" spans="1:9" s="90" customFormat="1" ht="63.75" x14ac:dyDescent="0.2">
      <c r="A45" s="390" t="s">
        <v>20</v>
      </c>
      <c r="B45" s="391" t="s">
        <v>20</v>
      </c>
      <c r="C45" s="391" t="s">
        <v>1816</v>
      </c>
      <c r="D45" s="390" t="s">
        <v>1431</v>
      </c>
      <c r="E45" s="390" t="s">
        <v>1430</v>
      </c>
      <c r="F45" s="391" t="s">
        <v>1820</v>
      </c>
      <c r="G45" s="390" t="s">
        <v>1817</v>
      </c>
      <c r="H45" s="390" t="s">
        <v>1701</v>
      </c>
      <c r="I45" s="392"/>
    </row>
    <row r="46" spans="1:9" s="90" customFormat="1" ht="51" x14ac:dyDescent="0.2">
      <c r="A46" s="390" t="s">
        <v>20</v>
      </c>
      <c r="B46" s="391" t="s">
        <v>20</v>
      </c>
      <c r="C46" s="391" t="s">
        <v>1816</v>
      </c>
      <c r="D46" s="390" t="s">
        <v>1432</v>
      </c>
      <c r="E46" s="390" t="s">
        <v>1430</v>
      </c>
      <c r="F46" s="391" t="s">
        <v>1821</v>
      </c>
      <c r="G46" s="390" t="s">
        <v>1817</v>
      </c>
      <c r="H46" s="390" t="s">
        <v>1701</v>
      </c>
      <c r="I46" s="392"/>
    </row>
    <row r="47" spans="1:9" s="90" customFormat="1" ht="63.75" x14ac:dyDescent="0.2">
      <c r="A47" s="390" t="s">
        <v>20</v>
      </c>
      <c r="B47" s="391" t="s">
        <v>20</v>
      </c>
      <c r="C47" s="391" t="s">
        <v>1816</v>
      </c>
      <c r="D47" s="390" t="s">
        <v>1433</v>
      </c>
      <c r="E47" s="390" t="s">
        <v>1430</v>
      </c>
      <c r="F47" s="391" t="s">
        <v>1740</v>
      </c>
      <c r="G47" s="390" t="s">
        <v>1817</v>
      </c>
      <c r="H47" s="390" t="s">
        <v>1701</v>
      </c>
      <c r="I47" s="392"/>
    </row>
    <row r="48" spans="1:9" s="90" customFormat="1" ht="51" x14ac:dyDescent="0.2">
      <c r="A48" s="390" t="s">
        <v>20</v>
      </c>
      <c r="B48" s="391" t="s">
        <v>20</v>
      </c>
      <c r="C48" s="391" t="s">
        <v>1816</v>
      </c>
      <c r="D48" s="390" t="s">
        <v>1434</v>
      </c>
      <c r="E48" s="390" t="s">
        <v>1430</v>
      </c>
      <c r="F48" s="391" t="s">
        <v>1821</v>
      </c>
      <c r="G48" s="390" t="s">
        <v>1817</v>
      </c>
      <c r="H48" s="390" t="s">
        <v>1701</v>
      </c>
      <c r="I48" s="392"/>
    </row>
    <row r="49" spans="1:9" s="90" customFormat="1" ht="51" x14ac:dyDescent="0.2">
      <c r="A49" s="390" t="s">
        <v>20</v>
      </c>
      <c r="B49" s="391" t="s">
        <v>20</v>
      </c>
      <c r="C49" s="391" t="s">
        <v>1816</v>
      </c>
      <c r="D49" s="390" t="s">
        <v>1435</v>
      </c>
      <c r="E49" s="390" t="s">
        <v>1430</v>
      </c>
      <c r="F49" s="391" t="s">
        <v>1822</v>
      </c>
      <c r="G49" s="390" t="s">
        <v>1817</v>
      </c>
      <c r="H49" s="390" t="s">
        <v>1701</v>
      </c>
      <c r="I49" s="392"/>
    </row>
    <row r="50" spans="1:9" s="90" customFormat="1" ht="51" x14ac:dyDescent="0.2">
      <c r="A50" s="387" t="s">
        <v>20</v>
      </c>
      <c r="B50" s="388" t="s">
        <v>20</v>
      </c>
      <c r="C50" s="388" t="s">
        <v>1687</v>
      </c>
      <c r="D50" s="90" t="s">
        <v>1436</v>
      </c>
      <c r="E50" s="90" t="s">
        <v>1437</v>
      </c>
      <c r="F50" s="389" t="s">
        <v>1580</v>
      </c>
      <c r="G50" s="393" t="s">
        <v>1438</v>
      </c>
      <c r="H50" s="90" t="s">
        <v>1694</v>
      </c>
      <c r="I50" s="392" t="s">
        <v>1744</v>
      </c>
    </row>
    <row r="51" spans="1:9" s="90" customFormat="1" ht="69" customHeight="1" x14ac:dyDescent="0.2">
      <c r="A51" s="394" t="s">
        <v>20</v>
      </c>
      <c r="B51" s="395" t="s">
        <v>20</v>
      </c>
      <c r="C51" s="395" t="s">
        <v>1708</v>
      </c>
      <c r="D51" s="394" t="s">
        <v>1436</v>
      </c>
      <c r="E51" s="394" t="s">
        <v>1437</v>
      </c>
      <c r="F51" s="391" t="s">
        <v>1748</v>
      </c>
      <c r="G51" s="396" t="s">
        <v>1438</v>
      </c>
      <c r="H51" s="390" t="s">
        <v>1701</v>
      </c>
      <c r="I51" s="392" t="s">
        <v>1744</v>
      </c>
    </row>
    <row r="52" spans="1:9" s="90" customFormat="1" ht="51" x14ac:dyDescent="0.2">
      <c r="A52" s="394" t="s">
        <v>20</v>
      </c>
      <c r="B52" s="395" t="s">
        <v>20</v>
      </c>
      <c r="C52" s="395" t="s">
        <v>1745</v>
      </c>
      <c r="D52" s="394" t="s">
        <v>1436</v>
      </c>
      <c r="E52" s="394" t="s">
        <v>1437</v>
      </c>
      <c r="F52" s="391" t="s">
        <v>1746</v>
      </c>
      <c r="G52" s="396" t="s">
        <v>1747</v>
      </c>
      <c r="H52" s="390" t="s">
        <v>1701</v>
      </c>
      <c r="I52" s="392" t="s">
        <v>1744</v>
      </c>
    </row>
    <row r="53" spans="1:9" s="90" customFormat="1" x14ac:dyDescent="0.2"/>
    <row r="267" spans="17:17" x14ac:dyDescent="0.2">
      <c r="Q267" t="b">
        <f>EBMD!I2=CONCATENATE(N267," _ ",O267," _ ",G267," _ ",H267," _ ",I267," _ ",J267," _ ",K267)</f>
        <v>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zoomScale="90" zoomScaleNormal="90" workbookViewId="0">
      <selection activeCell="K15" sqref="K15"/>
    </sheetView>
  </sheetViews>
  <sheetFormatPr baseColWidth="10" defaultRowHeight="12.75" x14ac:dyDescent="0.2"/>
  <cols>
    <col min="1" max="1" width="21.7109375" customWidth="1"/>
    <col min="2" max="2" width="38.5703125" bestFit="1" customWidth="1"/>
    <col min="3" max="3" width="19" bestFit="1" customWidth="1"/>
    <col min="5" max="5" width="45.140625" bestFit="1" customWidth="1"/>
    <col min="6" max="6" width="56.140625" bestFit="1" customWidth="1"/>
    <col min="8" max="8" width="34" bestFit="1" customWidth="1"/>
  </cols>
  <sheetData>
    <row r="1" spans="1:8" ht="36" x14ac:dyDescent="0.2">
      <c r="A1" s="181" t="s">
        <v>1450</v>
      </c>
      <c r="B1" s="181" t="s">
        <v>1461</v>
      </c>
      <c r="C1" s="181" t="s">
        <v>1451</v>
      </c>
      <c r="D1" s="181" t="s">
        <v>14</v>
      </c>
      <c r="E1" s="181" t="s">
        <v>1452</v>
      </c>
      <c r="F1" s="181" t="s">
        <v>1453</v>
      </c>
      <c r="G1" s="181" t="s">
        <v>1454</v>
      </c>
      <c r="H1" s="181" t="s">
        <v>1455</v>
      </c>
    </row>
    <row r="2" spans="1:8" ht="76.5" x14ac:dyDescent="0.2">
      <c r="A2" s="362" t="s">
        <v>20</v>
      </c>
      <c r="B2" s="362" t="s">
        <v>1715</v>
      </c>
      <c r="C2" s="363" t="s">
        <v>1755</v>
      </c>
      <c r="D2" s="364" t="s">
        <v>108</v>
      </c>
      <c r="E2" s="364" t="s">
        <v>1428</v>
      </c>
      <c r="F2" s="365" t="s">
        <v>1712</v>
      </c>
      <c r="G2" s="364" t="s">
        <v>1714</v>
      </c>
      <c r="H2" s="364" t="s">
        <v>1753</v>
      </c>
    </row>
    <row r="3" spans="1:8" ht="51" x14ac:dyDescent="0.2">
      <c r="A3" s="362" t="s">
        <v>20</v>
      </c>
      <c r="B3" s="362" t="s">
        <v>1715</v>
      </c>
      <c r="C3" s="363" t="s">
        <v>1755</v>
      </c>
      <c r="D3" s="364" t="s">
        <v>113</v>
      </c>
      <c r="E3" s="364" t="s">
        <v>1428</v>
      </c>
      <c r="F3" s="365" t="s">
        <v>1713</v>
      </c>
      <c r="G3" s="364" t="s">
        <v>1714</v>
      </c>
      <c r="H3" s="364" t="s">
        <v>1753</v>
      </c>
    </row>
    <row r="4" spans="1:8" ht="76.5" x14ac:dyDescent="0.2">
      <c r="A4" s="362" t="s">
        <v>20</v>
      </c>
      <c r="B4" s="362" t="s">
        <v>1715</v>
      </c>
      <c r="C4" s="363" t="s">
        <v>1755</v>
      </c>
      <c r="D4" s="364" t="s">
        <v>1429</v>
      </c>
      <c r="E4" s="364" t="s">
        <v>1430</v>
      </c>
      <c r="F4" s="365" t="s">
        <v>1712</v>
      </c>
      <c r="G4" s="364" t="s">
        <v>1714</v>
      </c>
      <c r="H4" s="364" t="s">
        <v>1753</v>
      </c>
    </row>
    <row r="5" spans="1:8" ht="76.5" x14ac:dyDescent="0.2">
      <c r="A5" s="362" t="s">
        <v>20</v>
      </c>
      <c r="B5" s="362" t="s">
        <v>1715</v>
      </c>
      <c r="C5" s="363" t="s">
        <v>1755</v>
      </c>
      <c r="D5" s="364" t="s">
        <v>1431</v>
      </c>
      <c r="E5" s="364" t="s">
        <v>1430</v>
      </c>
      <c r="F5" s="365" t="s">
        <v>1712</v>
      </c>
      <c r="G5" s="364" t="s">
        <v>1714</v>
      </c>
      <c r="H5" s="364" t="s">
        <v>1753</v>
      </c>
    </row>
    <row r="6" spans="1:8" ht="51" x14ac:dyDescent="0.2">
      <c r="A6" s="362" t="s">
        <v>20</v>
      </c>
      <c r="B6" s="362" t="s">
        <v>1715</v>
      </c>
      <c r="C6" s="363" t="s">
        <v>1755</v>
      </c>
      <c r="D6" s="364" t="s">
        <v>1432</v>
      </c>
      <c r="E6" s="364" t="s">
        <v>1430</v>
      </c>
      <c r="F6" s="365" t="s">
        <v>1710</v>
      </c>
      <c r="G6" s="364" t="s">
        <v>1714</v>
      </c>
      <c r="H6" s="364" t="s">
        <v>1753</v>
      </c>
    </row>
    <row r="7" spans="1:8" ht="63.75" x14ac:dyDescent="0.2">
      <c r="A7" s="362" t="s">
        <v>20</v>
      </c>
      <c r="B7" s="362" t="s">
        <v>1715</v>
      </c>
      <c r="C7" s="363" t="s">
        <v>1755</v>
      </c>
      <c r="D7" s="364" t="s">
        <v>1433</v>
      </c>
      <c r="E7" s="364" t="s">
        <v>1430</v>
      </c>
      <c r="F7" s="365" t="s">
        <v>1711</v>
      </c>
      <c r="G7" s="364" t="s">
        <v>1714</v>
      </c>
      <c r="H7" s="364" t="s">
        <v>1753</v>
      </c>
    </row>
    <row r="8" spans="1:8" ht="51" x14ac:dyDescent="0.2">
      <c r="A8" s="362" t="s">
        <v>20</v>
      </c>
      <c r="B8" s="362" t="s">
        <v>1715</v>
      </c>
      <c r="C8" s="363" t="s">
        <v>1755</v>
      </c>
      <c r="D8" s="364" t="s">
        <v>1434</v>
      </c>
      <c r="E8" s="364" t="s">
        <v>1430</v>
      </c>
      <c r="F8" s="365" t="s">
        <v>1710</v>
      </c>
      <c r="G8" s="364" t="s">
        <v>1714</v>
      </c>
      <c r="H8" s="364" t="s">
        <v>1753</v>
      </c>
    </row>
    <row r="9" spans="1:8" ht="51" x14ac:dyDescent="0.2">
      <c r="A9" s="362" t="s">
        <v>20</v>
      </c>
      <c r="B9" s="362" t="s">
        <v>1715</v>
      </c>
      <c r="C9" s="363" t="s">
        <v>1755</v>
      </c>
      <c r="D9" s="364" t="s">
        <v>1435</v>
      </c>
      <c r="E9" s="364" t="s">
        <v>1430</v>
      </c>
      <c r="F9" s="365" t="s">
        <v>1709</v>
      </c>
      <c r="G9" s="364" t="s">
        <v>1714</v>
      </c>
      <c r="H9" s="364" t="s">
        <v>1753</v>
      </c>
    </row>
    <row r="10" spans="1:8" ht="76.5" x14ac:dyDescent="0.2">
      <c r="A10" s="367" t="s">
        <v>20</v>
      </c>
      <c r="B10" s="367" t="s">
        <v>1297</v>
      </c>
      <c r="C10" s="368" t="s">
        <v>1756</v>
      </c>
      <c r="D10" s="369" t="s">
        <v>108</v>
      </c>
      <c r="E10" s="369" t="s">
        <v>1428</v>
      </c>
      <c r="F10" s="370" t="s">
        <v>1757</v>
      </c>
      <c r="G10" s="369" t="s">
        <v>1754</v>
      </c>
      <c r="H10" s="369" t="s">
        <v>1753</v>
      </c>
    </row>
    <row r="11" spans="1:8" ht="51" x14ac:dyDescent="0.2">
      <c r="A11" s="367" t="s">
        <v>20</v>
      </c>
      <c r="B11" s="367" t="s">
        <v>1297</v>
      </c>
      <c r="C11" s="368" t="s">
        <v>1756</v>
      </c>
      <c r="D11" s="369" t="s">
        <v>113</v>
      </c>
      <c r="E11" s="369" t="s">
        <v>1428</v>
      </c>
      <c r="F11" s="370" t="s">
        <v>1758</v>
      </c>
      <c r="G11" s="369" t="s">
        <v>1754</v>
      </c>
      <c r="H11" s="369" t="s">
        <v>1753</v>
      </c>
    </row>
    <row r="12" spans="1:8" ht="76.5" x14ac:dyDescent="0.2">
      <c r="A12" s="367" t="s">
        <v>20</v>
      </c>
      <c r="B12" s="367" t="s">
        <v>1297</v>
      </c>
      <c r="C12" s="368" t="s">
        <v>1756</v>
      </c>
      <c r="D12" s="369" t="s">
        <v>1429</v>
      </c>
      <c r="E12" s="369" t="s">
        <v>1430</v>
      </c>
      <c r="F12" s="370" t="s">
        <v>1757</v>
      </c>
      <c r="G12" s="369" t="s">
        <v>1754</v>
      </c>
      <c r="H12" s="369" t="s">
        <v>1753</v>
      </c>
    </row>
    <row r="13" spans="1:8" ht="76.5" x14ac:dyDescent="0.2">
      <c r="A13" s="367" t="s">
        <v>20</v>
      </c>
      <c r="B13" s="367" t="s">
        <v>1297</v>
      </c>
      <c r="C13" s="368" t="s">
        <v>1756</v>
      </c>
      <c r="D13" s="369" t="s">
        <v>1431</v>
      </c>
      <c r="E13" s="369" t="s">
        <v>1430</v>
      </c>
      <c r="F13" s="370" t="s">
        <v>1757</v>
      </c>
      <c r="G13" s="369" t="s">
        <v>1754</v>
      </c>
      <c r="H13" s="369" t="s">
        <v>1753</v>
      </c>
    </row>
    <row r="14" spans="1:8" ht="51" x14ac:dyDescent="0.2">
      <c r="A14" s="367" t="s">
        <v>20</v>
      </c>
      <c r="B14" s="367" t="s">
        <v>1297</v>
      </c>
      <c r="C14" s="368" t="s">
        <v>1756</v>
      </c>
      <c r="D14" s="369" t="s">
        <v>1432</v>
      </c>
      <c r="E14" s="369" t="s">
        <v>1430</v>
      </c>
      <c r="F14" s="370" t="s">
        <v>1759</v>
      </c>
      <c r="G14" s="369" t="s">
        <v>1754</v>
      </c>
      <c r="H14" s="369" t="s">
        <v>1753</v>
      </c>
    </row>
    <row r="15" spans="1:8" ht="63.75" x14ac:dyDescent="0.2">
      <c r="A15" s="367" t="s">
        <v>20</v>
      </c>
      <c r="B15" s="367" t="s">
        <v>1297</v>
      </c>
      <c r="C15" s="368" t="s">
        <v>1756</v>
      </c>
      <c r="D15" s="369" t="s">
        <v>1433</v>
      </c>
      <c r="E15" s="369" t="s">
        <v>1430</v>
      </c>
      <c r="F15" s="370" t="s">
        <v>1760</v>
      </c>
      <c r="G15" s="369" t="s">
        <v>1754</v>
      </c>
      <c r="H15" s="369" t="s">
        <v>1753</v>
      </c>
    </row>
    <row r="16" spans="1:8" ht="51" x14ac:dyDescent="0.2">
      <c r="A16" s="367" t="s">
        <v>20</v>
      </c>
      <c r="B16" s="367" t="s">
        <v>1297</v>
      </c>
      <c r="C16" s="368" t="s">
        <v>1756</v>
      </c>
      <c r="D16" s="369" t="s">
        <v>1434</v>
      </c>
      <c r="E16" s="369" t="s">
        <v>1430</v>
      </c>
      <c r="F16" s="370" t="s">
        <v>1759</v>
      </c>
      <c r="G16" s="369" t="s">
        <v>1754</v>
      </c>
      <c r="H16" s="369" t="s">
        <v>1753</v>
      </c>
    </row>
    <row r="17" spans="1:8" ht="51" x14ac:dyDescent="0.2">
      <c r="A17" s="367" t="s">
        <v>20</v>
      </c>
      <c r="B17" s="367" t="s">
        <v>1297</v>
      </c>
      <c r="C17" s="368" t="s">
        <v>1756</v>
      </c>
      <c r="D17" s="369" t="s">
        <v>1435</v>
      </c>
      <c r="E17" s="369" t="s">
        <v>1430</v>
      </c>
      <c r="F17" s="370" t="s">
        <v>1761</v>
      </c>
      <c r="G17" s="369" t="s">
        <v>1754</v>
      </c>
      <c r="H17" s="369" t="s">
        <v>1753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F170"/>
  <sheetViews>
    <sheetView zoomScale="90" zoomScaleNormal="90" workbookViewId="0"/>
  </sheetViews>
  <sheetFormatPr baseColWidth="10" defaultRowHeight="12.75" x14ac:dyDescent="0.2"/>
  <cols>
    <col min="1" max="1" width="54" style="342" customWidth="1"/>
    <col min="2" max="2" width="22.140625" style="342" customWidth="1"/>
    <col min="3" max="3" width="38.140625" style="342" customWidth="1"/>
    <col min="4" max="4" width="148.85546875" style="342" customWidth="1"/>
    <col min="5" max="5" width="19.140625" style="342" customWidth="1"/>
    <col min="6" max="6" width="28.5703125" style="342" customWidth="1"/>
    <col min="7" max="16384" width="11.42578125" style="342"/>
  </cols>
  <sheetData>
    <row r="1" spans="1:6" ht="48" x14ac:dyDescent="0.2">
      <c r="A1" s="359" t="s">
        <v>1450</v>
      </c>
      <c r="B1" s="359" t="s">
        <v>1451</v>
      </c>
      <c r="C1" s="359" t="s">
        <v>1452</v>
      </c>
      <c r="D1" s="359" t="s">
        <v>1453</v>
      </c>
      <c r="E1" s="359" t="s">
        <v>1454</v>
      </c>
      <c r="F1" s="359" t="s">
        <v>1455</v>
      </c>
    </row>
    <row r="2" spans="1:6" x14ac:dyDescent="0.2">
      <c r="A2" s="342" t="s">
        <v>20</v>
      </c>
      <c r="B2" s="360" t="str">
        <f>'[1]Examens accrédités et ajouts'!B622</f>
        <v xml:space="preserve">Centres de prélèvement 
</v>
      </c>
      <c r="C2" s="360" t="str">
        <f>'[1]Examens accrédités et ajouts'!F622</f>
        <v>Urines</v>
      </c>
      <c r="D2" s="361" t="str">
        <f>'[1]Examens accrédités et ajouts'!Q622</f>
        <v xml:space="preserve">BM PP01 _ NA _ Prélèvement par pose d’une poche pédiatrique _  _  _  _ </v>
      </c>
      <c r="E2" s="360" t="str">
        <f>'[1]Examens accrédités et ajouts'!L622</f>
        <v xml:space="preserve">Viskali
</v>
      </c>
      <c r="F2" s="360" t="str">
        <f>'[1]Examens accrédités et ajouts'!M622</f>
        <v>extension demandée en novembre 2024</v>
      </c>
    </row>
    <row r="3" spans="1:6" x14ac:dyDescent="0.2">
      <c r="A3" s="342" t="s">
        <v>20</v>
      </c>
      <c r="B3" s="360" t="str">
        <f>'[1]Examens accrédités et ajouts'!B623</f>
        <v>Centres de prélèvement 
Biologie de la reproduction</v>
      </c>
      <c r="C3" s="360" t="str">
        <f>'[1]Examens accrédités et ajouts'!F623</f>
        <v>Urines</v>
      </c>
      <c r="D3" s="361" t="str">
        <f>'[1]Examens accrédités et ajouts'!Q623</f>
        <v xml:space="preserve">BM PP01 _ NA _ Recueil des urines
Prélèvement par recueil sur le site de prélèvement de poche. _  _  _  _ </v>
      </c>
      <c r="E3" s="360" t="str">
        <f>'[1]Examens accrédités et ajouts'!L623</f>
        <v>Viskali
Protocole institutionnel de recueil des urines en vue d’un ECBU et autres examens de biologie chez un patient non sondé (Gedi 6868)
Protocole institutionnel de recueil des urines chez un patient porteur d’une sonde vésicale (Gedi 245)</v>
      </c>
      <c r="F3" s="360" t="str">
        <f>'[1]Examens accrédités et ajouts'!M623</f>
        <v>extension demandée en novembre 2024</v>
      </c>
    </row>
    <row r="4" spans="1:6" x14ac:dyDescent="0.2">
      <c r="A4" s="342" t="s">
        <v>20</v>
      </c>
      <c r="B4" s="360" t="str">
        <f>'[1]Examens accrédités et ajouts'!B624</f>
        <v xml:space="preserve">Centres de prélèvement 
</v>
      </c>
      <c r="C4" s="360" t="str">
        <f>'[1]Examens accrédités et ajouts'!F624</f>
        <v>Salive</v>
      </c>
      <c r="D4" s="361" t="str">
        <f>'[1]Examens accrédités et ajouts'!Q624</f>
        <v xml:space="preserve">BM PP01 _ NA _ Ecouvillonnage
Recueil salivaire sur buvard _  _  _  _ </v>
      </c>
      <c r="E4" s="360" t="str">
        <f>'[1]Examens accrédités et ajouts'!L624</f>
        <v>Viskali</v>
      </c>
      <c r="F4" s="360" t="str">
        <f>'[1]Examens accrédités et ajouts'!M624</f>
        <v>extension demandée en novembre 2024</v>
      </c>
    </row>
    <row r="5" spans="1:6" x14ac:dyDescent="0.2">
      <c r="A5" s="342" t="s">
        <v>20</v>
      </c>
      <c r="B5" s="360" t="str">
        <f>'[1]Examens accrédités et ajouts'!B625</f>
        <v>Centres de prélèvement</v>
      </c>
      <c r="C5" s="360" t="str">
        <f>'[1]Examens accrédités et ajouts'!F625</f>
        <v>Crachats</v>
      </c>
      <c r="D5" s="361" t="str">
        <f>'[1]Examens accrédités et ajouts'!Q625</f>
        <v xml:space="preserve">BM PP01 _ NA _ Recueil du crachat _  _  _  _ </v>
      </c>
      <c r="E5" s="360" t="str">
        <f>'[1]Examens accrédités et ajouts'!L625</f>
        <v>Viskali</v>
      </c>
      <c r="F5" s="360" t="str">
        <f>'[1]Examens accrédités et ajouts'!M625</f>
        <v>extension demandée en novembre 2024</v>
      </c>
    </row>
    <row r="6" spans="1:6" x14ac:dyDescent="0.2">
      <c r="A6" s="342" t="s">
        <v>20</v>
      </c>
      <c r="B6" s="360" t="str">
        <f>'[1]Examens accrédités et ajouts'!B626</f>
        <v xml:space="preserve">Centres de prélèvement 
</v>
      </c>
      <c r="C6" s="360" t="str">
        <f>'[1]Examens accrédités et ajouts'!F626</f>
        <v>Selles</v>
      </c>
      <c r="D6" s="361" t="str">
        <f>'[1]Examens accrédités et ajouts'!Q626</f>
        <v xml:space="preserve">BM PP01 _ NA _ Recueil des selles _  _  _  _ </v>
      </c>
      <c r="E6" s="360" t="str">
        <f>'[1]Examens accrédités et ajouts'!L626</f>
        <v xml:space="preserve">Viskali
Microbiologie : Prélèvements effectués à l'unité de prélèvement (UP) (GEDI 3706)
</v>
      </c>
      <c r="F6" s="360" t="str">
        <f>'[1]Examens accrédités et ajouts'!M626</f>
        <v>extension demandée en novembre 2024</v>
      </c>
    </row>
    <row r="7" spans="1:6" x14ac:dyDescent="0.2">
      <c r="A7" s="342" t="s">
        <v>20</v>
      </c>
      <c r="B7" s="360" t="str">
        <f>'[1]Examens accrédités et ajouts'!B627</f>
        <v>Centres de prélèvement 
Biologie de la reproduction</v>
      </c>
      <c r="C7" s="360" t="str">
        <f>'[1]Examens accrédités et ajouts'!F627</f>
        <v xml:space="preserve">Prélèvements génitaux :
vaginal, urétral, anal
</v>
      </c>
      <c r="D7" s="361" t="str">
        <f>'[1]Examens accrédités et ajouts'!Q627</f>
        <v xml:space="preserve">BM PP01 _ NA _ Ecouvillonnage pour examens microbiologiques _  _  _  _ </v>
      </c>
      <c r="E7" s="360" t="str">
        <f>'[1]Examens accrédités et ajouts'!L627</f>
        <v xml:space="preserve">Viskali
Microbiologie : Prélèvements effectués à l'unité de prélèvement (UP) (GEDI 3706)
</v>
      </c>
      <c r="F7" s="360" t="str">
        <f>'[1]Examens accrédités et ajouts'!M627</f>
        <v>extension demandée en novembre 2024</v>
      </c>
    </row>
    <row r="8" spans="1:6" x14ac:dyDescent="0.2">
      <c r="A8" s="342" t="s">
        <v>20</v>
      </c>
      <c r="B8" s="360" t="str">
        <f>'[1]Examens accrédités et ajouts'!B628</f>
        <v>Biologie de la reproduction</v>
      </c>
      <c r="C8" s="360" t="str">
        <f>'[1]Examens accrédités et ajouts'!F628</f>
        <v>Sperme</v>
      </c>
      <c r="D8" s="361" t="str">
        <f>'[1]Examens accrédités et ajouts'!Q628</f>
        <v xml:space="preserve">BM PP01 _ NA _ Recueil de sperme _  _  _  _ </v>
      </c>
      <c r="E8" s="360" t="str">
        <f>'[1]Examens accrédités et ajouts'!L628</f>
        <v>Viskali
Procédure de recueil du sperme (GEDI 4106)</v>
      </c>
      <c r="F8" s="360" t="str">
        <f>'[1]Examens accrédités et ajouts'!M628</f>
        <v>extension demandée en novembre 2024</v>
      </c>
    </row>
    <row r="9" spans="1:6" x14ac:dyDescent="0.2">
      <c r="A9" s="342" t="s">
        <v>20</v>
      </c>
      <c r="B9" s="360" t="str">
        <f>'[1]Examens accrédités et ajouts'!B629</f>
        <v>Biologie de la reproduction</v>
      </c>
      <c r="C9" s="360" t="str">
        <f>'[1]Examens accrédités et ajouts'!F629</f>
        <v>Prélèvements gynécologiques</v>
      </c>
      <c r="D9" s="361" t="str">
        <f>'[1]Examens accrédités et ajouts'!Q629</f>
        <v xml:space="preserve">BM PP01 _ NA _ Frottis cervico-vaginal _  _  _  _ </v>
      </c>
      <c r="E9" s="360" t="str">
        <f>'[1]Examens accrédités et ajouts'!L629</f>
        <v xml:space="preserve">Viskali
Microbiologie : Prélèvements effectués à l'unité de prélèvement (UP) (GEDI 3706)
</v>
      </c>
      <c r="F9" s="360" t="str">
        <f>'[1]Examens accrédités et ajouts'!M629</f>
        <v>extension demandée en novembre 2024</v>
      </c>
    </row>
    <row r="10" spans="1:6" x14ac:dyDescent="0.2">
      <c r="A10" s="342" t="s">
        <v>20</v>
      </c>
      <c r="B10" s="360" t="str">
        <f>'[1]Examens accrédités et ajouts'!B630</f>
        <v xml:space="preserve">Centres de prélèvement 
</v>
      </c>
      <c r="C10" s="360" t="str">
        <f>'[1]Examens accrédités et ajouts'!F630</f>
        <v xml:space="preserve">
Nasopharyngés
Oropharyngés</v>
      </c>
      <c r="D10" s="361" t="str">
        <f>'[1]Examens accrédités et ajouts'!Q630</f>
        <v xml:space="preserve">BM PP01 _ NA _ Ecouvillonnage pour examens microbiologiques _  _  _  _ </v>
      </c>
      <c r="E10" s="360" t="str">
        <f>'[1]Examens accrédités et ajouts'!L630</f>
        <v xml:space="preserve">Viskali
Microbiologie : Prélèvements effectués à l'unité de prélèvement (UP) (GEDI 3706)
</v>
      </c>
      <c r="F10" s="360" t="str">
        <f>'[1]Examens accrédités et ajouts'!M630</f>
        <v>extension demandée en novembre 2024</v>
      </c>
    </row>
    <row r="11" spans="1:6" x14ac:dyDescent="0.2">
      <c r="A11" s="342" t="s">
        <v>20</v>
      </c>
      <c r="B11" s="360" t="str">
        <f>'[1]Examens accrédités et ajouts'!B631</f>
        <v xml:space="preserve">Centres de prélèvement 
</v>
      </c>
      <c r="C11" s="360" t="str">
        <f>'[1]Examens accrédités et ajouts'!F631</f>
        <v>Peau
Phanères
Tissus cellulaires sous-cutanés</v>
      </c>
      <c r="D11" s="361" t="str">
        <f>'[1]Examens accrédités et ajouts'!Q631</f>
        <v xml:space="preserve">BM PP01 _ NA _ Prélèvement cutané pour examens microbiologiques
Prélèvement des phanères pour examens microbiologiques _  _  _  _ </v>
      </c>
      <c r="E11" s="360" t="str">
        <f>'[1]Examens accrédités et ajouts'!L631</f>
        <v>Viskali
Procédure opératoire de la recherche de sarcopte (gale) (GEDI 1212)
MO prélèvement mycologique</v>
      </c>
      <c r="F11" s="360" t="str">
        <f>'[1]Examens accrédités et ajouts'!M631</f>
        <v>extension demandée en novembre 2024</v>
      </c>
    </row>
    <row r="12" spans="1:6" x14ac:dyDescent="0.2">
      <c r="A12" s="342" t="s">
        <v>20</v>
      </c>
      <c r="B12" s="360" t="str">
        <f>'[1]Examens accrédités et ajouts'!B632</f>
        <v>Consultation hématologie
Services de soins</v>
      </c>
      <c r="C12" s="360" t="str">
        <f>'[1]Examens accrédités et ajouts'!F632</f>
        <v>Moelle osseuse</v>
      </c>
      <c r="D12" s="361" t="str">
        <f>'[1]Examens accrédités et ajouts'!Q632</f>
        <v xml:space="preserve">BM PP01 _ NA _ Ponction sternale ou iliaque _  _  _  _ </v>
      </c>
      <c r="E12" s="360" t="str">
        <f>'[1]Examens accrédités et ajouts'!L632</f>
        <v>Viskali
Protocole de prélèvement du myélogramme GEDI 1768</v>
      </c>
      <c r="F12" s="360" t="str">
        <f>'[1]Examens accrédités et ajouts'!M632</f>
        <v>extension demandée en novembre 2024</v>
      </c>
    </row>
    <row r="13" spans="1:6" x14ac:dyDescent="0.2">
      <c r="A13" s="342" t="s">
        <v>20</v>
      </c>
      <c r="B13" s="360">
        <f>'[1]Examens accrédités et ajouts'!B633</f>
        <v>0</v>
      </c>
      <c r="C13" s="360">
        <f>'[1]Examens accrédités et ajouts'!F633</f>
        <v>0</v>
      </c>
      <c r="D13" s="361" t="str">
        <f>'[1]Examens accrédités et ajouts'!Q633</f>
        <v xml:space="preserve"> _  _  _  _  _  _ </v>
      </c>
      <c r="E13" s="360">
        <f>'[1]Examens accrédités et ajouts'!L633</f>
        <v>0</v>
      </c>
      <c r="F13" s="360">
        <f>'[1]Examens accrédités et ajouts'!M633</f>
        <v>0</v>
      </c>
    </row>
    <row r="14" spans="1:6" x14ac:dyDescent="0.2">
      <c r="A14" s="342" t="s">
        <v>20</v>
      </c>
      <c r="B14" s="360">
        <f>'[1]Examens accrédités et ajouts'!B634</f>
        <v>0</v>
      </c>
      <c r="C14" s="360">
        <f>'[1]Examens accrédités et ajouts'!F634</f>
        <v>0</v>
      </c>
      <c r="D14" s="361" t="str">
        <f>'[1]Examens accrédités et ajouts'!Q634</f>
        <v xml:space="preserve"> _  _  _  _  _  _ </v>
      </c>
      <c r="E14" s="360">
        <f>'[1]Examens accrédités et ajouts'!L634</f>
        <v>0</v>
      </c>
      <c r="F14" s="360">
        <f>'[1]Examens accrédités et ajouts'!M634</f>
        <v>0</v>
      </c>
    </row>
    <row r="15" spans="1:6" x14ac:dyDescent="0.2">
      <c r="A15" s="360">
        <f>'[1]Examens accrédités et ajouts'!A635</f>
        <v>0</v>
      </c>
      <c r="B15" s="360">
        <f>'[1]Examens accrédités et ajouts'!B635</f>
        <v>0</v>
      </c>
      <c r="C15" s="360">
        <f>'[1]Examens accrédités et ajouts'!F635</f>
        <v>0</v>
      </c>
      <c r="D15" s="361">
        <f>'[1]Examens accrédités et ajouts'!Q635</f>
        <v>0</v>
      </c>
      <c r="E15" s="360">
        <f>'[1]Examens accrédités et ajouts'!L635</f>
        <v>0</v>
      </c>
      <c r="F15" s="360">
        <f>'[1]Examens accrédités et ajouts'!M635</f>
        <v>0</v>
      </c>
    </row>
    <row r="16" spans="1:6" x14ac:dyDescent="0.2">
      <c r="A16" s="360">
        <v>0</v>
      </c>
      <c r="B16" s="360">
        <f>'[1]Examens accrédités et ajouts'!B646</f>
        <v>0</v>
      </c>
      <c r="C16" s="360">
        <f>'[1]Examens accrédités et ajouts'!F646</f>
        <v>0</v>
      </c>
      <c r="D16" s="361">
        <f>'[1]Examens accrédités et ajouts'!Q646</f>
        <v>0</v>
      </c>
      <c r="E16" s="360">
        <f>'[1]Examens accrédités et ajouts'!L646</f>
        <v>0</v>
      </c>
      <c r="F16" s="360">
        <f>'[1]Examens accrédités et ajouts'!M646</f>
        <v>0</v>
      </c>
    </row>
    <row r="17" spans="1:6" x14ac:dyDescent="0.2">
      <c r="A17" s="360">
        <v>0</v>
      </c>
      <c r="B17" s="360">
        <f>'[1]Examens accrédités et ajouts'!B647</f>
        <v>0</v>
      </c>
      <c r="C17" s="360">
        <f>'[1]Examens accrédités et ajouts'!F647</f>
        <v>0</v>
      </c>
      <c r="D17" s="361">
        <f>'[1]Examens accrédités et ajouts'!Q647</f>
        <v>0</v>
      </c>
      <c r="E17" s="360">
        <f>'[1]Examens accrédités et ajouts'!L647</f>
        <v>0</v>
      </c>
      <c r="F17" s="360">
        <f>'[1]Examens accrédités et ajouts'!M647</f>
        <v>0</v>
      </c>
    </row>
    <row r="18" spans="1:6" x14ac:dyDescent="0.2">
      <c r="A18" s="360">
        <v>0</v>
      </c>
      <c r="B18" s="360">
        <f>'[1]Examens accrédités et ajouts'!B648</f>
        <v>0</v>
      </c>
      <c r="C18" s="360">
        <f>'[1]Examens accrédités et ajouts'!F648</f>
        <v>0</v>
      </c>
      <c r="D18" s="361">
        <f>'[1]Examens accrédités et ajouts'!Q648</f>
        <v>0</v>
      </c>
      <c r="E18" s="360">
        <f>'[1]Examens accrédités et ajouts'!L648</f>
        <v>0</v>
      </c>
      <c r="F18" s="360">
        <f>'[1]Examens accrédités et ajouts'!M648</f>
        <v>0</v>
      </c>
    </row>
    <row r="19" spans="1:6" x14ac:dyDescent="0.2">
      <c r="A19" s="360">
        <v>0</v>
      </c>
      <c r="B19" s="360">
        <f>'[1]Examens accrédités et ajouts'!B649</f>
        <v>0</v>
      </c>
      <c r="C19" s="360">
        <f>'[1]Examens accrédités et ajouts'!F649</f>
        <v>0</v>
      </c>
      <c r="D19" s="361">
        <f>'[1]Examens accrédités et ajouts'!Q649</f>
        <v>0</v>
      </c>
      <c r="E19" s="360">
        <f>'[1]Examens accrédités et ajouts'!L649</f>
        <v>0</v>
      </c>
      <c r="F19" s="360">
        <f>'[1]Examens accrédités et ajouts'!M649</f>
        <v>0</v>
      </c>
    </row>
    <row r="20" spans="1:6" x14ac:dyDescent="0.2">
      <c r="A20" s="360">
        <v>0</v>
      </c>
      <c r="B20" s="360">
        <f>'[1]Examens accrédités et ajouts'!B650</f>
        <v>0</v>
      </c>
      <c r="C20" s="360">
        <f>'[1]Examens accrédités et ajouts'!F650</f>
        <v>0</v>
      </c>
      <c r="D20" s="361">
        <f>'[1]Examens accrédités et ajouts'!Q650</f>
        <v>0</v>
      </c>
      <c r="E20" s="360">
        <f>'[1]Examens accrédités et ajouts'!L650</f>
        <v>0</v>
      </c>
      <c r="F20" s="360">
        <f>'[1]Examens accrédités et ajouts'!M650</f>
        <v>0</v>
      </c>
    </row>
    <row r="21" spans="1:6" x14ac:dyDescent="0.2">
      <c r="A21" s="360">
        <v>0</v>
      </c>
      <c r="B21" s="360">
        <f>'[1]Examens accrédités et ajouts'!B651</f>
        <v>0</v>
      </c>
      <c r="C21" s="360">
        <f>'[1]Examens accrédités et ajouts'!F651</f>
        <v>0</v>
      </c>
      <c r="D21" s="361">
        <f>'[1]Examens accrédités et ajouts'!Q651</f>
        <v>0</v>
      </c>
      <c r="E21" s="360">
        <f>'[1]Examens accrédités et ajouts'!L651</f>
        <v>0</v>
      </c>
      <c r="F21" s="360">
        <f>'[1]Examens accrédités et ajouts'!M651</f>
        <v>0</v>
      </c>
    </row>
    <row r="22" spans="1:6" x14ac:dyDescent="0.2">
      <c r="A22" s="360">
        <v>0</v>
      </c>
      <c r="B22" s="360">
        <f>'[1]Examens accrédités et ajouts'!B652</f>
        <v>0</v>
      </c>
      <c r="C22" s="360">
        <f>'[1]Examens accrédités et ajouts'!F652</f>
        <v>0</v>
      </c>
      <c r="D22" s="361">
        <f>'[1]Examens accrédités et ajouts'!Q652</f>
        <v>0</v>
      </c>
      <c r="E22" s="360">
        <f>'[1]Examens accrédités et ajouts'!L652</f>
        <v>0</v>
      </c>
      <c r="F22" s="360">
        <f>'[1]Examens accrédités et ajouts'!M652</f>
        <v>0</v>
      </c>
    </row>
    <row r="23" spans="1:6" x14ac:dyDescent="0.2">
      <c r="A23" s="360">
        <v>0</v>
      </c>
      <c r="B23" s="360">
        <f>'[1]Examens accrédités et ajouts'!B653</f>
        <v>0</v>
      </c>
      <c r="C23" s="360">
        <f>'[1]Examens accrédités et ajouts'!F653</f>
        <v>0</v>
      </c>
      <c r="D23" s="361">
        <f>'[1]Examens accrédités et ajouts'!Q653</f>
        <v>0</v>
      </c>
      <c r="E23" s="360">
        <f>'[1]Examens accrédités et ajouts'!L653</f>
        <v>0</v>
      </c>
      <c r="F23" s="360">
        <f>'[1]Examens accrédités et ajouts'!M653</f>
        <v>0</v>
      </c>
    </row>
    <row r="24" spans="1:6" x14ac:dyDescent="0.2">
      <c r="A24" s="360">
        <v>0</v>
      </c>
      <c r="B24" s="360">
        <f>'[1]Examens accrédités et ajouts'!B654</f>
        <v>0</v>
      </c>
      <c r="C24" s="360">
        <f>'[1]Examens accrédités et ajouts'!F654</f>
        <v>0</v>
      </c>
      <c r="D24" s="361">
        <f>'[1]Examens accrédités et ajouts'!Q654</f>
        <v>0</v>
      </c>
      <c r="E24" s="360">
        <f>'[1]Examens accrédités et ajouts'!L654</f>
        <v>0</v>
      </c>
      <c r="F24" s="360">
        <f>'[1]Examens accrédités et ajouts'!M654</f>
        <v>0</v>
      </c>
    </row>
    <row r="25" spans="1:6" x14ac:dyDescent="0.2">
      <c r="A25" s="360">
        <v>0</v>
      </c>
      <c r="B25" s="360">
        <f>'[1]Examens accrédités et ajouts'!B655</f>
        <v>0</v>
      </c>
      <c r="C25" s="360">
        <f>'[1]Examens accrédités et ajouts'!F655</f>
        <v>0</v>
      </c>
      <c r="D25" s="361">
        <f>'[1]Examens accrédités et ajouts'!Q655</f>
        <v>0</v>
      </c>
      <c r="E25" s="360">
        <f>'[1]Examens accrédités et ajouts'!L655</f>
        <v>0</v>
      </c>
      <c r="F25" s="360">
        <f>'[1]Examens accrédités et ajouts'!M655</f>
        <v>0</v>
      </c>
    </row>
    <row r="26" spans="1:6" x14ac:dyDescent="0.2">
      <c r="A26" s="360">
        <v>0</v>
      </c>
      <c r="B26" s="360">
        <f>'[1]Examens accrédités et ajouts'!B656</f>
        <v>0</v>
      </c>
      <c r="C26" s="360">
        <f>'[1]Examens accrédités et ajouts'!F656</f>
        <v>0</v>
      </c>
      <c r="D26" s="361">
        <f>'[1]Examens accrédités et ajouts'!Q656</f>
        <v>0</v>
      </c>
      <c r="E26" s="360">
        <f>'[1]Examens accrédités et ajouts'!L656</f>
        <v>0</v>
      </c>
      <c r="F26" s="360">
        <f>'[1]Examens accrédités et ajouts'!M656</f>
        <v>0</v>
      </c>
    </row>
    <row r="27" spans="1:6" x14ac:dyDescent="0.2">
      <c r="A27" s="360">
        <v>0</v>
      </c>
      <c r="B27" s="360">
        <f>'[1]Examens accrédités et ajouts'!B657</f>
        <v>0</v>
      </c>
      <c r="C27" s="360">
        <f>'[1]Examens accrédités et ajouts'!F657</f>
        <v>0</v>
      </c>
      <c r="D27" s="361">
        <f>'[1]Examens accrédités et ajouts'!Q657</f>
        <v>0</v>
      </c>
      <c r="E27" s="360">
        <f>'[1]Examens accrédités et ajouts'!L657</f>
        <v>0</v>
      </c>
      <c r="F27" s="360">
        <f>'[1]Examens accrédités et ajouts'!M657</f>
        <v>0</v>
      </c>
    </row>
    <row r="28" spans="1:6" x14ac:dyDescent="0.2">
      <c r="A28" s="360">
        <v>0</v>
      </c>
      <c r="B28" s="360">
        <f>'[1]Examens accrédités et ajouts'!B658</f>
        <v>0</v>
      </c>
      <c r="C28" s="360">
        <f>'[1]Examens accrédités et ajouts'!F658</f>
        <v>0</v>
      </c>
      <c r="D28" s="361">
        <f>'[1]Examens accrédités et ajouts'!Q658</f>
        <v>0</v>
      </c>
      <c r="E28" s="360">
        <f>'[1]Examens accrédités et ajouts'!L658</f>
        <v>0</v>
      </c>
      <c r="F28" s="360">
        <f>'[1]Examens accrédités et ajouts'!M658</f>
        <v>0</v>
      </c>
    </row>
    <row r="29" spans="1:6" x14ac:dyDescent="0.2">
      <c r="A29" s="360">
        <v>0</v>
      </c>
      <c r="B29" s="360">
        <f>'[1]Examens accrédités et ajouts'!B659</f>
        <v>0</v>
      </c>
      <c r="C29" s="360">
        <f>'[1]Examens accrédités et ajouts'!F659</f>
        <v>0</v>
      </c>
      <c r="D29" s="361">
        <f>'[1]Examens accrédités et ajouts'!Q659</f>
        <v>0</v>
      </c>
      <c r="E29" s="360">
        <f>'[1]Examens accrédités et ajouts'!L659</f>
        <v>0</v>
      </c>
      <c r="F29" s="360">
        <f>'[1]Examens accrédités et ajouts'!M659</f>
        <v>0</v>
      </c>
    </row>
    <row r="30" spans="1:6" x14ac:dyDescent="0.2">
      <c r="A30" s="360">
        <v>0</v>
      </c>
      <c r="B30" s="360">
        <f>'[1]Examens accrédités et ajouts'!B660</f>
        <v>0</v>
      </c>
      <c r="C30" s="360">
        <f>'[1]Examens accrédités et ajouts'!F660</f>
        <v>0</v>
      </c>
      <c r="D30" s="361">
        <f>'[1]Examens accrédités et ajouts'!Q660</f>
        <v>0</v>
      </c>
      <c r="E30" s="360">
        <f>'[1]Examens accrédités et ajouts'!L660</f>
        <v>0</v>
      </c>
      <c r="F30" s="360">
        <f>'[1]Examens accrédités et ajouts'!M660</f>
        <v>0</v>
      </c>
    </row>
    <row r="31" spans="1:6" x14ac:dyDescent="0.2">
      <c r="A31" s="360">
        <v>0</v>
      </c>
      <c r="B31" s="360">
        <f>'[1]Examens accrédités et ajouts'!B661</f>
        <v>0</v>
      </c>
      <c r="C31" s="360">
        <f>'[1]Examens accrédités et ajouts'!F661</f>
        <v>0</v>
      </c>
      <c r="D31" s="361">
        <f>'[1]Examens accrédités et ajouts'!Q661</f>
        <v>0</v>
      </c>
      <c r="E31" s="360">
        <f>'[1]Examens accrédités et ajouts'!L661</f>
        <v>0</v>
      </c>
      <c r="F31" s="360">
        <f>'[1]Examens accrédités et ajouts'!M661</f>
        <v>0</v>
      </c>
    </row>
    <row r="32" spans="1:6" x14ac:dyDescent="0.2">
      <c r="A32" s="360">
        <v>0</v>
      </c>
      <c r="B32" s="360">
        <f>'[1]Examens accrédités et ajouts'!B662</f>
        <v>0</v>
      </c>
      <c r="C32" s="360">
        <f>'[1]Examens accrédités et ajouts'!F662</f>
        <v>0</v>
      </c>
      <c r="D32" s="361">
        <f>'[1]Examens accrédités et ajouts'!Q662</f>
        <v>0</v>
      </c>
      <c r="E32" s="360">
        <f>'[1]Examens accrédités et ajouts'!L662</f>
        <v>0</v>
      </c>
      <c r="F32" s="360">
        <f>'[1]Examens accrédités et ajouts'!M662</f>
        <v>0</v>
      </c>
    </row>
    <row r="33" spans="1:6" x14ac:dyDescent="0.2">
      <c r="A33" s="360">
        <v>0</v>
      </c>
      <c r="B33" s="360">
        <f>'[1]Examens accrédités et ajouts'!B663</f>
        <v>0</v>
      </c>
      <c r="C33" s="360">
        <f>'[1]Examens accrédités et ajouts'!F663</f>
        <v>0</v>
      </c>
      <c r="D33" s="361">
        <f>'[1]Examens accrédités et ajouts'!Q663</f>
        <v>0</v>
      </c>
      <c r="E33" s="360">
        <f>'[1]Examens accrédités et ajouts'!L663</f>
        <v>0</v>
      </c>
      <c r="F33" s="360">
        <f>'[1]Examens accrédités et ajouts'!M663</f>
        <v>0</v>
      </c>
    </row>
    <row r="34" spans="1:6" x14ac:dyDescent="0.2">
      <c r="A34" s="360">
        <v>0</v>
      </c>
      <c r="B34" s="360">
        <f>'[1]Examens accrédités et ajouts'!B664</f>
        <v>0</v>
      </c>
      <c r="C34" s="360">
        <f>'[1]Examens accrédités et ajouts'!F664</f>
        <v>0</v>
      </c>
      <c r="D34" s="361">
        <f>'[1]Examens accrédités et ajouts'!Q664</f>
        <v>0</v>
      </c>
      <c r="E34" s="360">
        <f>'[1]Examens accrédités et ajouts'!L664</f>
        <v>0</v>
      </c>
      <c r="F34" s="360">
        <f>'[1]Examens accrédités et ajouts'!M664</f>
        <v>0</v>
      </c>
    </row>
    <row r="35" spans="1:6" x14ac:dyDescent="0.2">
      <c r="A35" s="360">
        <v>0</v>
      </c>
      <c r="B35" s="360">
        <f>'[1]Examens accrédités et ajouts'!B665</f>
        <v>0</v>
      </c>
      <c r="C35" s="360">
        <f>'[1]Examens accrédités et ajouts'!F665</f>
        <v>0</v>
      </c>
      <c r="D35" s="361">
        <f>'[1]Examens accrédités et ajouts'!Q665</f>
        <v>0</v>
      </c>
      <c r="E35" s="360">
        <f>'[1]Examens accrédités et ajouts'!L665</f>
        <v>0</v>
      </c>
      <c r="F35" s="360">
        <f>'[1]Examens accrédités et ajouts'!M665</f>
        <v>0</v>
      </c>
    </row>
    <row r="36" spans="1:6" x14ac:dyDescent="0.2">
      <c r="A36" s="360">
        <v>0</v>
      </c>
      <c r="B36" s="360">
        <f>'[1]Examens accrédités et ajouts'!B666</f>
        <v>0</v>
      </c>
      <c r="C36" s="360">
        <f>'[1]Examens accrédités et ajouts'!F666</f>
        <v>0</v>
      </c>
      <c r="D36" s="361">
        <f>'[1]Examens accrédités et ajouts'!Q666</f>
        <v>0</v>
      </c>
      <c r="E36" s="360">
        <f>'[1]Examens accrédités et ajouts'!L666</f>
        <v>0</v>
      </c>
      <c r="F36" s="360">
        <f>'[1]Examens accrédités et ajouts'!M666</f>
        <v>0</v>
      </c>
    </row>
    <row r="37" spans="1:6" x14ac:dyDescent="0.2">
      <c r="A37" s="360">
        <v>0</v>
      </c>
      <c r="B37" s="360">
        <f>'[1]Examens accrédités et ajouts'!B667</f>
        <v>0</v>
      </c>
      <c r="C37" s="360">
        <f>'[1]Examens accrédités et ajouts'!F667</f>
        <v>0</v>
      </c>
      <c r="D37" s="361">
        <f>'[1]Examens accrédités et ajouts'!Q667</f>
        <v>0</v>
      </c>
      <c r="E37" s="360">
        <f>'[1]Examens accrédités et ajouts'!L667</f>
        <v>0</v>
      </c>
      <c r="F37" s="360">
        <f>'[1]Examens accrédités et ajouts'!M667</f>
        <v>0</v>
      </c>
    </row>
    <row r="38" spans="1:6" x14ac:dyDescent="0.2">
      <c r="A38" s="360">
        <v>0</v>
      </c>
      <c r="B38" s="360">
        <f>'[1]Examens accrédités et ajouts'!B668</f>
        <v>0</v>
      </c>
      <c r="C38" s="360">
        <f>'[1]Examens accrédités et ajouts'!F668</f>
        <v>0</v>
      </c>
      <c r="D38" s="361">
        <f>'[1]Examens accrédités et ajouts'!Q668</f>
        <v>0</v>
      </c>
      <c r="E38" s="360">
        <f>'[1]Examens accrédités et ajouts'!L668</f>
        <v>0</v>
      </c>
      <c r="F38" s="360">
        <f>'[1]Examens accrédités et ajouts'!M668</f>
        <v>0</v>
      </c>
    </row>
    <row r="39" spans="1:6" x14ac:dyDescent="0.2">
      <c r="A39" s="360">
        <v>0</v>
      </c>
      <c r="B39" s="360">
        <f>'[1]Examens accrédités et ajouts'!B669</f>
        <v>0</v>
      </c>
      <c r="C39" s="360">
        <f>'[1]Examens accrédités et ajouts'!F669</f>
        <v>0</v>
      </c>
      <c r="D39" s="361">
        <f>'[1]Examens accrédités et ajouts'!Q669</f>
        <v>0</v>
      </c>
      <c r="E39" s="360">
        <f>'[1]Examens accrédités et ajouts'!L669</f>
        <v>0</v>
      </c>
      <c r="F39" s="360">
        <f>'[1]Examens accrédités et ajouts'!M669</f>
        <v>0</v>
      </c>
    </row>
    <row r="40" spans="1:6" x14ac:dyDescent="0.2">
      <c r="A40" s="360">
        <v>0</v>
      </c>
      <c r="B40" s="360">
        <f>'[1]Examens accrédités et ajouts'!B670</f>
        <v>0</v>
      </c>
      <c r="C40" s="360">
        <f>'[1]Examens accrédités et ajouts'!F670</f>
        <v>0</v>
      </c>
      <c r="D40" s="361">
        <f>'[1]Examens accrédités et ajouts'!Q670</f>
        <v>0</v>
      </c>
      <c r="E40" s="360">
        <f>'[1]Examens accrédités et ajouts'!L670</f>
        <v>0</v>
      </c>
      <c r="F40" s="360">
        <f>'[1]Examens accrédités et ajouts'!M670</f>
        <v>0</v>
      </c>
    </row>
    <row r="41" spans="1:6" x14ac:dyDescent="0.2">
      <c r="A41" s="360">
        <v>0</v>
      </c>
      <c r="B41" s="360">
        <f>'[1]Examens accrédités et ajouts'!B671</f>
        <v>0</v>
      </c>
      <c r="C41" s="360">
        <f>'[1]Examens accrédités et ajouts'!F671</f>
        <v>0</v>
      </c>
      <c r="D41" s="361">
        <f>'[1]Examens accrédités et ajouts'!Q671</f>
        <v>0</v>
      </c>
      <c r="E41" s="360">
        <f>'[1]Examens accrédités et ajouts'!L671</f>
        <v>0</v>
      </c>
      <c r="F41" s="360">
        <f>'[1]Examens accrédités et ajouts'!M671</f>
        <v>0</v>
      </c>
    </row>
    <row r="42" spans="1:6" x14ac:dyDescent="0.2">
      <c r="A42" s="360">
        <v>0</v>
      </c>
      <c r="B42" s="360">
        <f>'[1]Examens accrédités et ajouts'!B672</f>
        <v>0</v>
      </c>
      <c r="C42" s="360">
        <f>'[1]Examens accrédités et ajouts'!F672</f>
        <v>0</v>
      </c>
      <c r="D42" s="361">
        <f>'[1]Examens accrédités et ajouts'!Q672</f>
        <v>0</v>
      </c>
      <c r="E42" s="360">
        <f>'[1]Examens accrédités et ajouts'!L672</f>
        <v>0</v>
      </c>
      <c r="F42" s="360">
        <f>'[1]Examens accrédités et ajouts'!M672</f>
        <v>0</v>
      </c>
    </row>
    <row r="43" spans="1:6" x14ac:dyDescent="0.2">
      <c r="A43" s="360">
        <v>0</v>
      </c>
      <c r="B43" s="360">
        <f>'[1]Examens accrédités et ajouts'!B673</f>
        <v>0</v>
      </c>
      <c r="C43" s="360">
        <f>'[1]Examens accrédités et ajouts'!F673</f>
        <v>0</v>
      </c>
      <c r="D43" s="361">
        <f>'[1]Examens accrédités et ajouts'!Q673</f>
        <v>0</v>
      </c>
      <c r="E43" s="360">
        <f>'[1]Examens accrédités et ajouts'!L673</f>
        <v>0</v>
      </c>
      <c r="F43" s="360">
        <f>'[1]Examens accrédités et ajouts'!M673</f>
        <v>0</v>
      </c>
    </row>
    <row r="44" spans="1:6" x14ac:dyDescent="0.2">
      <c r="A44" s="360">
        <v>0</v>
      </c>
      <c r="B44" s="360">
        <f>'[1]Examens accrédités et ajouts'!B674</f>
        <v>0</v>
      </c>
      <c r="C44" s="360">
        <f>'[1]Examens accrédités et ajouts'!F674</f>
        <v>0</v>
      </c>
      <c r="D44" s="361">
        <f>'[1]Examens accrédités et ajouts'!Q674</f>
        <v>0</v>
      </c>
      <c r="E44" s="360">
        <f>'[1]Examens accrédités et ajouts'!L674</f>
        <v>0</v>
      </c>
      <c r="F44" s="360">
        <f>'[1]Examens accrédités et ajouts'!M674</f>
        <v>0</v>
      </c>
    </row>
    <row r="45" spans="1:6" x14ac:dyDescent="0.2">
      <c r="A45" s="360">
        <v>0</v>
      </c>
      <c r="B45" s="360">
        <f>'[1]Examens accrédités et ajouts'!B675</f>
        <v>0</v>
      </c>
      <c r="C45" s="360">
        <f>'[1]Examens accrédités et ajouts'!F675</f>
        <v>0</v>
      </c>
      <c r="D45" s="361">
        <f>'[1]Examens accrédités et ajouts'!Q675</f>
        <v>0</v>
      </c>
      <c r="E45" s="360">
        <f>'[1]Examens accrédités et ajouts'!L675</f>
        <v>0</v>
      </c>
      <c r="F45" s="360">
        <f>'[1]Examens accrédités et ajouts'!M675</f>
        <v>0</v>
      </c>
    </row>
    <row r="46" spans="1:6" x14ac:dyDescent="0.2">
      <c r="A46" s="360">
        <v>0</v>
      </c>
      <c r="B46" s="360">
        <f>'[1]Examens accrédités et ajouts'!B676</f>
        <v>0</v>
      </c>
      <c r="C46" s="360">
        <f>'[1]Examens accrédités et ajouts'!F676</f>
        <v>0</v>
      </c>
      <c r="D46" s="361">
        <f>'[1]Examens accrédités et ajouts'!Q676</f>
        <v>0</v>
      </c>
      <c r="E46" s="360">
        <f>'[1]Examens accrédités et ajouts'!L676</f>
        <v>0</v>
      </c>
      <c r="F46" s="360">
        <f>'[1]Examens accrédités et ajouts'!M676</f>
        <v>0</v>
      </c>
    </row>
    <row r="47" spans="1:6" x14ac:dyDescent="0.2">
      <c r="A47" s="360">
        <v>0</v>
      </c>
      <c r="B47" s="360">
        <f>'[1]Examens accrédités et ajouts'!B677</f>
        <v>0</v>
      </c>
      <c r="C47" s="360">
        <f>'[1]Examens accrédités et ajouts'!F677</f>
        <v>0</v>
      </c>
      <c r="D47" s="361">
        <f>'[1]Examens accrédités et ajouts'!Q677</f>
        <v>0</v>
      </c>
      <c r="E47" s="360">
        <f>'[1]Examens accrédités et ajouts'!L677</f>
        <v>0</v>
      </c>
      <c r="F47" s="360">
        <f>'[1]Examens accrédités et ajouts'!M677</f>
        <v>0</v>
      </c>
    </row>
    <row r="48" spans="1:6" x14ac:dyDescent="0.2">
      <c r="A48" s="360">
        <v>0</v>
      </c>
      <c r="B48" s="360">
        <f>'[1]Examens accrédités et ajouts'!B678</f>
        <v>0</v>
      </c>
      <c r="C48" s="360">
        <f>'[1]Examens accrédités et ajouts'!F678</f>
        <v>0</v>
      </c>
      <c r="D48" s="361">
        <f>'[1]Examens accrédités et ajouts'!Q678</f>
        <v>0</v>
      </c>
      <c r="E48" s="360">
        <f>'[1]Examens accrédités et ajouts'!L678</f>
        <v>0</v>
      </c>
      <c r="F48" s="360">
        <f>'[1]Examens accrédités et ajouts'!M678</f>
        <v>0</v>
      </c>
    </row>
    <row r="49" spans="1:6" x14ac:dyDescent="0.2">
      <c r="A49" s="360">
        <v>0</v>
      </c>
      <c r="B49" s="360">
        <f>'[1]Examens accrédités et ajouts'!B679</f>
        <v>0</v>
      </c>
      <c r="C49" s="360">
        <f>'[1]Examens accrédités et ajouts'!F679</f>
        <v>0</v>
      </c>
      <c r="D49" s="361">
        <f>'[1]Examens accrédités et ajouts'!Q679</f>
        <v>0</v>
      </c>
      <c r="E49" s="360">
        <f>'[1]Examens accrédités et ajouts'!L679</f>
        <v>0</v>
      </c>
      <c r="F49" s="360">
        <f>'[1]Examens accrédités et ajouts'!M679</f>
        <v>0</v>
      </c>
    </row>
    <row r="50" spans="1:6" x14ac:dyDescent="0.2">
      <c r="A50" s="360">
        <v>0</v>
      </c>
      <c r="B50" s="360">
        <f>'[1]Examens accrédités et ajouts'!B680</f>
        <v>0</v>
      </c>
      <c r="C50" s="360">
        <f>'[1]Examens accrédités et ajouts'!F680</f>
        <v>0</v>
      </c>
      <c r="D50" s="361">
        <f>'[1]Examens accrédités et ajouts'!Q680</f>
        <v>0</v>
      </c>
      <c r="E50" s="360">
        <f>'[1]Examens accrédités et ajouts'!L680</f>
        <v>0</v>
      </c>
      <c r="F50" s="360">
        <f>'[1]Examens accrédités et ajouts'!M680</f>
        <v>0</v>
      </c>
    </row>
    <row r="51" spans="1:6" x14ac:dyDescent="0.2">
      <c r="A51" s="360">
        <v>0</v>
      </c>
      <c r="B51" s="360">
        <f>'[1]Examens accrédités et ajouts'!B681</f>
        <v>0</v>
      </c>
      <c r="C51" s="360">
        <f>'[1]Examens accrédités et ajouts'!F681</f>
        <v>0</v>
      </c>
      <c r="D51" s="361">
        <f>'[1]Examens accrédités et ajouts'!Q681</f>
        <v>0</v>
      </c>
      <c r="E51" s="360">
        <f>'[1]Examens accrédités et ajouts'!L681</f>
        <v>0</v>
      </c>
      <c r="F51" s="360">
        <f>'[1]Examens accrédités et ajouts'!M681</f>
        <v>0</v>
      </c>
    </row>
    <row r="52" spans="1:6" x14ac:dyDescent="0.2">
      <c r="A52" s="360">
        <v>0</v>
      </c>
      <c r="B52" s="360">
        <f>'[1]Examens accrédités et ajouts'!B682</f>
        <v>0</v>
      </c>
      <c r="C52" s="360">
        <f>'[1]Examens accrédités et ajouts'!F682</f>
        <v>0</v>
      </c>
      <c r="D52" s="361">
        <f>'[1]Examens accrédités et ajouts'!Q682</f>
        <v>0</v>
      </c>
      <c r="E52" s="360">
        <f>'[1]Examens accrédités et ajouts'!L682</f>
        <v>0</v>
      </c>
      <c r="F52" s="360">
        <f>'[1]Examens accrédités et ajouts'!M682</f>
        <v>0</v>
      </c>
    </row>
    <row r="53" spans="1:6" x14ac:dyDescent="0.2">
      <c r="A53" s="360">
        <v>0</v>
      </c>
      <c r="B53" s="360">
        <f>'[1]Examens accrédités et ajouts'!B683</f>
        <v>0</v>
      </c>
      <c r="C53" s="360">
        <f>'[1]Examens accrédités et ajouts'!F683</f>
        <v>0</v>
      </c>
      <c r="D53" s="361">
        <f>'[1]Examens accrédités et ajouts'!Q683</f>
        <v>0</v>
      </c>
      <c r="E53" s="360">
        <f>'[1]Examens accrédités et ajouts'!L683</f>
        <v>0</v>
      </c>
      <c r="F53" s="360">
        <f>'[1]Examens accrédités et ajouts'!M683</f>
        <v>0</v>
      </c>
    </row>
    <row r="54" spans="1:6" x14ac:dyDescent="0.2">
      <c r="A54" s="360">
        <v>0</v>
      </c>
      <c r="B54" s="360">
        <f>'[1]Examens accrédités et ajouts'!B684</f>
        <v>0</v>
      </c>
      <c r="C54" s="360">
        <f>'[1]Examens accrédités et ajouts'!F684</f>
        <v>0</v>
      </c>
      <c r="D54" s="361">
        <f>'[1]Examens accrédités et ajouts'!Q684</f>
        <v>0</v>
      </c>
      <c r="E54" s="360">
        <f>'[1]Examens accrédités et ajouts'!L684</f>
        <v>0</v>
      </c>
      <c r="F54" s="360">
        <f>'[1]Examens accrédités et ajouts'!M684</f>
        <v>0</v>
      </c>
    </row>
    <row r="55" spans="1:6" x14ac:dyDescent="0.2">
      <c r="A55" s="360">
        <v>0</v>
      </c>
      <c r="B55" s="360">
        <f>'[1]Examens accrédités et ajouts'!B685</f>
        <v>0</v>
      </c>
      <c r="C55" s="360">
        <f>'[1]Examens accrédités et ajouts'!F685</f>
        <v>0</v>
      </c>
      <c r="D55" s="361">
        <f>'[1]Examens accrédités et ajouts'!Q685</f>
        <v>0</v>
      </c>
      <c r="E55" s="360">
        <f>'[1]Examens accrédités et ajouts'!L685</f>
        <v>0</v>
      </c>
      <c r="F55" s="360">
        <f>'[1]Examens accrédités et ajouts'!M685</f>
        <v>0</v>
      </c>
    </row>
    <row r="56" spans="1:6" x14ac:dyDescent="0.2">
      <c r="A56" s="360">
        <v>0</v>
      </c>
      <c r="B56" s="360">
        <f>'[1]Examens accrédités et ajouts'!B686</f>
        <v>0</v>
      </c>
      <c r="C56" s="360">
        <f>'[1]Examens accrédités et ajouts'!F686</f>
        <v>0</v>
      </c>
      <c r="D56" s="361">
        <f>'[1]Examens accrédités et ajouts'!Q686</f>
        <v>0</v>
      </c>
      <c r="E56" s="360">
        <f>'[1]Examens accrédités et ajouts'!L686</f>
        <v>0</v>
      </c>
      <c r="F56" s="360">
        <f>'[1]Examens accrédités et ajouts'!M686</f>
        <v>0</v>
      </c>
    </row>
    <row r="57" spans="1:6" x14ac:dyDescent="0.2">
      <c r="A57" s="360">
        <v>0</v>
      </c>
      <c r="B57" s="360">
        <f>'[1]Examens accrédités et ajouts'!B687</f>
        <v>0</v>
      </c>
      <c r="C57" s="360">
        <f>'[1]Examens accrédités et ajouts'!F687</f>
        <v>0</v>
      </c>
      <c r="D57" s="361">
        <f>'[1]Examens accrédités et ajouts'!Q687</f>
        <v>0</v>
      </c>
      <c r="E57" s="360">
        <f>'[1]Examens accrédités et ajouts'!L687</f>
        <v>0</v>
      </c>
      <c r="F57" s="360">
        <f>'[1]Examens accrédités et ajouts'!M687</f>
        <v>0</v>
      </c>
    </row>
    <row r="58" spans="1:6" x14ac:dyDescent="0.2">
      <c r="A58" s="360">
        <v>0</v>
      </c>
      <c r="B58" s="360">
        <f>'[1]Examens accrédités et ajouts'!B688</f>
        <v>0</v>
      </c>
      <c r="C58" s="360">
        <f>'[1]Examens accrédités et ajouts'!F688</f>
        <v>0</v>
      </c>
      <c r="D58" s="361">
        <f>'[1]Examens accrédités et ajouts'!Q688</f>
        <v>0</v>
      </c>
      <c r="E58" s="360">
        <f>'[1]Examens accrédités et ajouts'!L688</f>
        <v>0</v>
      </c>
      <c r="F58" s="360">
        <f>'[1]Examens accrédités et ajouts'!M688</f>
        <v>0</v>
      </c>
    </row>
    <row r="59" spans="1:6" x14ac:dyDescent="0.2">
      <c r="A59" s="360">
        <v>0</v>
      </c>
      <c r="B59" s="360">
        <f>'[1]Examens accrédités et ajouts'!B689</f>
        <v>0</v>
      </c>
      <c r="C59" s="360">
        <f>'[1]Examens accrédités et ajouts'!F689</f>
        <v>0</v>
      </c>
      <c r="D59" s="361">
        <f>'[1]Examens accrédités et ajouts'!Q689</f>
        <v>0</v>
      </c>
      <c r="E59" s="360">
        <f>'[1]Examens accrédités et ajouts'!L689</f>
        <v>0</v>
      </c>
      <c r="F59" s="360">
        <f>'[1]Examens accrédités et ajouts'!M689</f>
        <v>0</v>
      </c>
    </row>
    <row r="60" spans="1:6" x14ac:dyDescent="0.2">
      <c r="A60" s="360">
        <v>0</v>
      </c>
      <c r="B60" s="360">
        <f>'[1]Examens accrédités et ajouts'!B690</f>
        <v>0</v>
      </c>
      <c r="C60" s="360">
        <f>'[1]Examens accrédités et ajouts'!F690</f>
        <v>0</v>
      </c>
      <c r="D60" s="361">
        <f>'[1]Examens accrédités et ajouts'!Q690</f>
        <v>0</v>
      </c>
      <c r="E60" s="360">
        <f>'[1]Examens accrédités et ajouts'!L690</f>
        <v>0</v>
      </c>
      <c r="F60" s="360">
        <f>'[1]Examens accrédités et ajouts'!M690</f>
        <v>0</v>
      </c>
    </row>
    <row r="61" spans="1:6" x14ac:dyDescent="0.2">
      <c r="A61" s="360">
        <v>0</v>
      </c>
      <c r="B61" s="360">
        <f>'[1]Examens accrédités et ajouts'!B691</f>
        <v>0</v>
      </c>
      <c r="C61" s="360">
        <f>'[1]Examens accrédités et ajouts'!F691</f>
        <v>0</v>
      </c>
      <c r="D61" s="361">
        <f>'[1]Examens accrédités et ajouts'!Q691</f>
        <v>0</v>
      </c>
      <c r="E61" s="360">
        <f>'[1]Examens accrédités et ajouts'!L691</f>
        <v>0</v>
      </c>
      <c r="F61" s="360">
        <f>'[1]Examens accrédités et ajouts'!M691</f>
        <v>0</v>
      </c>
    </row>
    <row r="62" spans="1:6" x14ac:dyDescent="0.2">
      <c r="A62" s="360">
        <v>0</v>
      </c>
      <c r="B62" s="360">
        <f>'[1]Examens accrédités et ajouts'!B692</f>
        <v>0</v>
      </c>
      <c r="C62" s="360">
        <f>'[1]Examens accrédités et ajouts'!F692</f>
        <v>0</v>
      </c>
      <c r="D62" s="361">
        <f>'[1]Examens accrédités et ajouts'!Q692</f>
        <v>0</v>
      </c>
      <c r="E62" s="360">
        <f>'[1]Examens accrédités et ajouts'!L692</f>
        <v>0</v>
      </c>
      <c r="F62" s="360">
        <f>'[1]Examens accrédités et ajouts'!M692</f>
        <v>0</v>
      </c>
    </row>
    <row r="63" spans="1:6" x14ac:dyDescent="0.2">
      <c r="A63" s="360">
        <v>0</v>
      </c>
      <c r="B63" s="360">
        <f>'[1]Examens accrédités et ajouts'!B693</f>
        <v>0</v>
      </c>
      <c r="C63" s="360">
        <f>'[1]Examens accrédités et ajouts'!F693</f>
        <v>0</v>
      </c>
      <c r="D63" s="361">
        <f>'[1]Examens accrédités et ajouts'!Q693</f>
        <v>0</v>
      </c>
      <c r="E63" s="360">
        <f>'[1]Examens accrédités et ajouts'!L693</f>
        <v>0</v>
      </c>
      <c r="F63" s="360">
        <f>'[1]Examens accrédités et ajouts'!M693</f>
        <v>0</v>
      </c>
    </row>
    <row r="64" spans="1:6" x14ac:dyDescent="0.2">
      <c r="A64" s="360">
        <v>0</v>
      </c>
      <c r="B64" s="360">
        <f>'[1]Examens accrédités et ajouts'!B694</f>
        <v>0</v>
      </c>
      <c r="C64" s="360">
        <f>'[1]Examens accrédités et ajouts'!F694</f>
        <v>0</v>
      </c>
      <c r="D64" s="361">
        <f>'[1]Examens accrédités et ajouts'!Q694</f>
        <v>0</v>
      </c>
      <c r="E64" s="360">
        <f>'[1]Examens accrédités et ajouts'!L694</f>
        <v>0</v>
      </c>
      <c r="F64" s="360">
        <f>'[1]Examens accrédités et ajouts'!M694</f>
        <v>0</v>
      </c>
    </row>
    <row r="65" spans="1:6" x14ac:dyDescent="0.2">
      <c r="A65" s="360">
        <v>0</v>
      </c>
      <c r="B65" s="360">
        <f>'[1]Examens accrédités et ajouts'!B695</f>
        <v>0</v>
      </c>
      <c r="C65" s="360">
        <f>'[1]Examens accrédités et ajouts'!F695</f>
        <v>0</v>
      </c>
      <c r="D65" s="361">
        <f>'[1]Examens accrédités et ajouts'!Q695</f>
        <v>0</v>
      </c>
      <c r="E65" s="360">
        <f>'[1]Examens accrédités et ajouts'!L695</f>
        <v>0</v>
      </c>
      <c r="F65" s="360">
        <f>'[1]Examens accrédités et ajouts'!M695</f>
        <v>0</v>
      </c>
    </row>
    <row r="66" spans="1:6" x14ac:dyDescent="0.2">
      <c r="A66" s="360">
        <v>0</v>
      </c>
      <c r="B66" s="360">
        <f>'[1]Examens accrédités et ajouts'!B696</f>
        <v>0</v>
      </c>
      <c r="C66" s="360">
        <f>'[1]Examens accrédités et ajouts'!F696</f>
        <v>0</v>
      </c>
      <c r="D66" s="361">
        <f>'[1]Examens accrédités et ajouts'!Q696</f>
        <v>0</v>
      </c>
      <c r="E66" s="360">
        <f>'[1]Examens accrédités et ajouts'!L696</f>
        <v>0</v>
      </c>
      <c r="F66" s="360">
        <f>'[1]Examens accrédités et ajouts'!M696</f>
        <v>0</v>
      </c>
    </row>
    <row r="67" spans="1:6" x14ac:dyDescent="0.2">
      <c r="A67" s="360">
        <v>0</v>
      </c>
      <c r="B67" s="360">
        <f>'[1]Examens accrédités et ajouts'!B697</f>
        <v>0</v>
      </c>
      <c r="C67" s="360">
        <f>'[1]Examens accrédités et ajouts'!F697</f>
        <v>0</v>
      </c>
      <c r="D67" s="361">
        <f>'[1]Examens accrédités et ajouts'!Q697</f>
        <v>0</v>
      </c>
      <c r="E67" s="360">
        <f>'[1]Examens accrédités et ajouts'!L697</f>
        <v>0</v>
      </c>
      <c r="F67" s="360">
        <f>'[1]Examens accrédités et ajouts'!M697</f>
        <v>0</v>
      </c>
    </row>
    <row r="68" spans="1:6" x14ac:dyDescent="0.2">
      <c r="A68" s="360">
        <v>0</v>
      </c>
      <c r="B68" s="360">
        <f>'[1]Examens accrédités et ajouts'!B698</f>
        <v>0</v>
      </c>
      <c r="C68" s="360">
        <f>'[1]Examens accrédités et ajouts'!F698</f>
        <v>0</v>
      </c>
      <c r="D68" s="361">
        <f>'[1]Examens accrédités et ajouts'!Q698</f>
        <v>0</v>
      </c>
      <c r="E68" s="360">
        <f>'[1]Examens accrédités et ajouts'!L698</f>
        <v>0</v>
      </c>
      <c r="F68" s="360">
        <f>'[1]Examens accrédités et ajouts'!M698</f>
        <v>0</v>
      </c>
    </row>
    <row r="69" spans="1:6" x14ac:dyDescent="0.2">
      <c r="A69" s="360">
        <v>0</v>
      </c>
      <c r="B69" s="360">
        <f>'[1]Examens accrédités et ajouts'!B699</f>
        <v>0</v>
      </c>
      <c r="C69" s="360">
        <f>'[1]Examens accrédités et ajouts'!F699</f>
        <v>0</v>
      </c>
      <c r="D69" s="361">
        <f>'[1]Examens accrédités et ajouts'!Q699</f>
        <v>0</v>
      </c>
      <c r="E69" s="360">
        <f>'[1]Examens accrédités et ajouts'!L699</f>
        <v>0</v>
      </c>
      <c r="F69" s="360">
        <f>'[1]Examens accrédités et ajouts'!M699</f>
        <v>0</v>
      </c>
    </row>
    <row r="70" spans="1:6" x14ac:dyDescent="0.2">
      <c r="A70" s="360">
        <v>0</v>
      </c>
      <c r="B70" s="360">
        <f>'[1]Examens accrédités et ajouts'!B700</f>
        <v>0</v>
      </c>
      <c r="C70" s="360">
        <f>'[1]Examens accrédités et ajouts'!F700</f>
        <v>0</v>
      </c>
      <c r="D70" s="361">
        <f>'[1]Examens accrédités et ajouts'!Q700</f>
        <v>0</v>
      </c>
      <c r="E70" s="360">
        <f>'[1]Examens accrédités et ajouts'!L700</f>
        <v>0</v>
      </c>
      <c r="F70" s="360">
        <f>'[1]Examens accrédités et ajouts'!M700</f>
        <v>0</v>
      </c>
    </row>
    <row r="71" spans="1:6" x14ac:dyDescent="0.2">
      <c r="A71" s="360">
        <v>0</v>
      </c>
      <c r="B71" s="360">
        <f>'[1]Examens accrédités et ajouts'!B701</f>
        <v>0</v>
      </c>
      <c r="C71" s="360">
        <f>'[1]Examens accrédités et ajouts'!F701</f>
        <v>0</v>
      </c>
      <c r="D71" s="361">
        <f>'[1]Examens accrédités et ajouts'!Q701</f>
        <v>0</v>
      </c>
      <c r="E71" s="360">
        <f>'[1]Examens accrédités et ajouts'!L701</f>
        <v>0</v>
      </c>
      <c r="F71" s="360">
        <f>'[1]Examens accrédités et ajouts'!M701</f>
        <v>0</v>
      </c>
    </row>
    <row r="72" spans="1:6" x14ac:dyDescent="0.2">
      <c r="A72" s="360"/>
      <c r="B72" s="360">
        <f>'[1]Examens accrédités et ajouts'!B702</f>
        <v>0</v>
      </c>
      <c r="C72" s="360">
        <f>'[1]Examens accrédités et ajouts'!F702</f>
        <v>0</v>
      </c>
      <c r="D72" s="361">
        <f>'[1]Examens accrédités et ajouts'!Q702</f>
        <v>0</v>
      </c>
      <c r="E72" s="360">
        <f>'[1]Examens accrédités et ajouts'!L702</f>
        <v>0</v>
      </c>
      <c r="F72" s="360">
        <f>'[1]Examens accrédités et ajouts'!M702</f>
        <v>0</v>
      </c>
    </row>
    <row r="73" spans="1:6" x14ac:dyDescent="0.2">
      <c r="A73" s="360"/>
      <c r="B73" s="360">
        <f>'[1]Examens accrédités et ajouts'!B703</f>
        <v>0</v>
      </c>
      <c r="C73" s="360">
        <f>'[1]Examens accrédités et ajouts'!F703</f>
        <v>0</v>
      </c>
      <c r="D73" s="361">
        <f>'[1]Examens accrédités et ajouts'!Q703</f>
        <v>0</v>
      </c>
      <c r="E73" s="360">
        <f>'[1]Examens accrédités et ajouts'!L703</f>
        <v>0</v>
      </c>
      <c r="F73" s="360">
        <f>'[1]Examens accrédités et ajouts'!M703</f>
        <v>0</v>
      </c>
    </row>
    <row r="74" spans="1:6" x14ac:dyDescent="0.2">
      <c r="A74" s="360"/>
      <c r="B74" s="360">
        <f>'[1]Examens accrédités et ajouts'!B704</f>
        <v>0</v>
      </c>
      <c r="C74" s="360">
        <f>'[1]Examens accrédités et ajouts'!F704</f>
        <v>0</v>
      </c>
      <c r="D74" s="361">
        <f>'[1]Examens accrédités et ajouts'!Q704</f>
        <v>0</v>
      </c>
      <c r="E74" s="360">
        <f>'[1]Examens accrédités et ajouts'!L704</f>
        <v>0</v>
      </c>
      <c r="F74" s="360">
        <f>'[1]Examens accrédités et ajouts'!M704</f>
        <v>0</v>
      </c>
    </row>
    <row r="75" spans="1:6" x14ac:dyDescent="0.2">
      <c r="A75" s="360"/>
      <c r="B75" s="360">
        <f>'[1]Examens accrédités et ajouts'!B705</f>
        <v>0</v>
      </c>
      <c r="C75" s="360">
        <f>'[1]Examens accrédités et ajouts'!F705</f>
        <v>0</v>
      </c>
      <c r="D75" s="361">
        <f>'[1]Examens accrédités et ajouts'!Q705</f>
        <v>0</v>
      </c>
      <c r="E75" s="360">
        <f>'[1]Examens accrédités et ajouts'!L705</f>
        <v>0</v>
      </c>
      <c r="F75" s="360">
        <f>'[1]Examens accrédités et ajouts'!M705</f>
        <v>0</v>
      </c>
    </row>
    <row r="76" spans="1:6" x14ac:dyDescent="0.2">
      <c r="A76" s="360"/>
      <c r="B76" s="360">
        <f>'[1]Examens accrédités et ajouts'!B706</f>
        <v>0</v>
      </c>
      <c r="C76" s="360">
        <f>'[1]Examens accrédités et ajouts'!F706</f>
        <v>0</v>
      </c>
      <c r="D76" s="361">
        <f>'[1]Examens accrédités et ajouts'!Q706</f>
        <v>0</v>
      </c>
      <c r="E76" s="360">
        <f>'[1]Examens accrédités et ajouts'!L706</f>
        <v>0</v>
      </c>
      <c r="F76" s="360">
        <f>'[1]Examens accrédités et ajouts'!M706</f>
        <v>0</v>
      </c>
    </row>
    <row r="77" spans="1:6" x14ac:dyDescent="0.2">
      <c r="A77" s="360"/>
      <c r="B77" s="360">
        <f>'[1]Examens accrédités et ajouts'!B707</f>
        <v>0</v>
      </c>
      <c r="C77" s="360">
        <f>'[1]Examens accrédités et ajouts'!F707</f>
        <v>0</v>
      </c>
      <c r="D77" s="361">
        <f>'[1]Examens accrédités et ajouts'!Q707</f>
        <v>0</v>
      </c>
      <c r="E77" s="360">
        <f>'[1]Examens accrédités et ajouts'!L707</f>
        <v>0</v>
      </c>
      <c r="F77" s="360">
        <f>'[1]Examens accrédités et ajouts'!M707</f>
        <v>0</v>
      </c>
    </row>
    <row r="78" spans="1:6" x14ac:dyDescent="0.2">
      <c r="A78" s="360"/>
      <c r="B78" s="360">
        <f>'[1]Examens accrédités et ajouts'!B708</f>
        <v>0</v>
      </c>
      <c r="C78" s="360">
        <f>'[1]Examens accrédités et ajouts'!F708</f>
        <v>0</v>
      </c>
      <c r="D78" s="361">
        <f>'[1]Examens accrédités et ajouts'!Q708</f>
        <v>0</v>
      </c>
      <c r="E78" s="360">
        <f>'[1]Examens accrédités et ajouts'!L708</f>
        <v>0</v>
      </c>
      <c r="F78" s="360">
        <f>'[1]Examens accrédités et ajouts'!M708</f>
        <v>0</v>
      </c>
    </row>
    <row r="79" spans="1:6" x14ac:dyDescent="0.2">
      <c r="A79" s="360"/>
      <c r="B79" s="360">
        <f>'[1]Examens accrédités et ajouts'!B709</f>
        <v>0</v>
      </c>
      <c r="C79" s="360">
        <f>'[1]Examens accrédités et ajouts'!F709</f>
        <v>0</v>
      </c>
      <c r="D79" s="361">
        <f>'[1]Examens accrédités et ajouts'!Q709</f>
        <v>0</v>
      </c>
      <c r="E79" s="360">
        <f>'[1]Examens accrédités et ajouts'!L709</f>
        <v>0</v>
      </c>
      <c r="F79" s="360">
        <f>'[1]Examens accrédités et ajouts'!M709</f>
        <v>0</v>
      </c>
    </row>
    <row r="80" spans="1:6" x14ac:dyDescent="0.2">
      <c r="A80" s="360"/>
      <c r="B80" s="360">
        <f>'[1]Examens accrédités et ajouts'!B710</f>
        <v>0</v>
      </c>
      <c r="C80" s="360">
        <f>'[1]Examens accrédités et ajouts'!F710</f>
        <v>0</v>
      </c>
      <c r="D80" s="361">
        <f>'[1]Examens accrédités et ajouts'!Q710</f>
        <v>0</v>
      </c>
      <c r="E80" s="360">
        <f>'[1]Examens accrédités et ajouts'!L710</f>
        <v>0</v>
      </c>
      <c r="F80" s="360">
        <f>'[1]Examens accrédités et ajouts'!M710</f>
        <v>0</v>
      </c>
    </row>
    <row r="81" spans="1:6" x14ac:dyDescent="0.2">
      <c r="A81" s="360"/>
      <c r="B81" s="360">
        <f>'[1]Examens accrédités et ajouts'!B711</f>
        <v>0</v>
      </c>
      <c r="C81" s="360">
        <f>'[1]Examens accrédités et ajouts'!F711</f>
        <v>0</v>
      </c>
      <c r="D81" s="361">
        <f>'[1]Examens accrédités et ajouts'!Q711</f>
        <v>0</v>
      </c>
      <c r="E81" s="360">
        <f>'[1]Examens accrédités et ajouts'!L711</f>
        <v>0</v>
      </c>
      <c r="F81" s="360">
        <f>'[1]Examens accrédités et ajouts'!M711</f>
        <v>0</v>
      </c>
    </row>
    <row r="82" spans="1:6" x14ac:dyDescent="0.2">
      <c r="A82" s="360"/>
      <c r="B82" s="360">
        <f>'[1]Examens accrédités et ajouts'!B712</f>
        <v>0</v>
      </c>
      <c r="C82" s="360">
        <f>'[1]Examens accrédités et ajouts'!F712</f>
        <v>0</v>
      </c>
      <c r="D82" s="361">
        <f>'[1]Examens accrédités et ajouts'!Q712</f>
        <v>0</v>
      </c>
      <c r="E82" s="360">
        <f>'[1]Examens accrédités et ajouts'!L712</f>
        <v>0</v>
      </c>
      <c r="F82" s="360">
        <f>'[1]Examens accrédités et ajouts'!M712</f>
        <v>0</v>
      </c>
    </row>
    <row r="83" spans="1:6" x14ac:dyDescent="0.2">
      <c r="A83" s="360"/>
      <c r="B83" s="360">
        <f>'[1]Examens accrédités et ajouts'!B713</f>
        <v>0</v>
      </c>
      <c r="C83" s="360">
        <f>'[1]Examens accrédités et ajouts'!F713</f>
        <v>0</v>
      </c>
      <c r="D83" s="361">
        <f>'[1]Examens accrédités et ajouts'!Q713</f>
        <v>0</v>
      </c>
      <c r="E83" s="360">
        <f>'[1]Examens accrédités et ajouts'!L713</f>
        <v>0</v>
      </c>
      <c r="F83" s="360">
        <f>'[1]Examens accrédités et ajouts'!M713</f>
        <v>0</v>
      </c>
    </row>
    <row r="84" spans="1:6" x14ac:dyDescent="0.2">
      <c r="A84" s="360"/>
      <c r="B84" s="360">
        <f>'[1]Examens accrédités et ajouts'!B714</f>
        <v>0</v>
      </c>
      <c r="C84" s="360">
        <f>'[1]Examens accrédités et ajouts'!F714</f>
        <v>0</v>
      </c>
      <c r="D84" s="361">
        <f>'[1]Examens accrédités et ajouts'!Q714</f>
        <v>0</v>
      </c>
      <c r="E84" s="360">
        <f>'[1]Examens accrédités et ajouts'!L714</f>
        <v>0</v>
      </c>
      <c r="F84" s="360">
        <f>'[1]Examens accrédités et ajouts'!M714</f>
        <v>0</v>
      </c>
    </row>
    <row r="85" spans="1:6" x14ac:dyDescent="0.2">
      <c r="A85" s="360"/>
      <c r="B85" s="360">
        <f>'[1]Examens accrédités et ajouts'!B715</f>
        <v>0</v>
      </c>
      <c r="C85" s="360">
        <f>'[1]Examens accrédités et ajouts'!F715</f>
        <v>0</v>
      </c>
      <c r="D85" s="361">
        <f>'[1]Examens accrédités et ajouts'!Q715</f>
        <v>0</v>
      </c>
      <c r="E85" s="360">
        <f>'[1]Examens accrédités et ajouts'!L715</f>
        <v>0</v>
      </c>
      <c r="F85" s="360">
        <f>'[1]Examens accrédités et ajouts'!M715</f>
        <v>0</v>
      </c>
    </row>
    <row r="86" spans="1:6" x14ac:dyDescent="0.2">
      <c r="A86" s="360"/>
      <c r="B86" s="360">
        <f>'[1]Examens accrédités et ajouts'!B716</f>
        <v>0</v>
      </c>
      <c r="C86" s="360">
        <f>'[1]Examens accrédités et ajouts'!F716</f>
        <v>0</v>
      </c>
      <c r="D86" s="361">
        <f>'[1]Examens accrédités et ajouts'!Q716</f>
        <v>0</v>
      </c>
      <c r="E86" s="360">
        <f>'[1]Examens accrédités et ajouts'!L716</f>
        <v>0</v>
      </c>
      <c r="F86" s="360">
        <f>'[1]Examens accrédités et ajouts'!M716</f>
        <v>0</v>
      </c>
    </row>
    <row r="87" spans="1:6" x14ac:dyDescent="0.2">
      <c r="A87" s="360"/>
      <c r="B87" s="360">
        <f>'[1]Examens accrédités et ajouts'!B717</f>
        <v>0</v>
      </c>
      <c r="C87" s="360">
        <f>'[1]Examens accrédités et ajouts'!F717</f>
        <v>0</v>
      </c>
      <c r="D87" s="361">
        <f>'[1]Examens accrédités et ajouts'!Q717</f>
        <v>0</v>
      </c>
      <c r="E87" s="360">
        <f>'[1]Examens accrédités et ajouts'!L717</f>
        <v>0</v>
      </c>
      <c r="F87" s="360">
        <f>'[1]Examens accrédités et ajouts'!M717</f>
        <v>0</v>
      </c>
    </row>
    <row r="88" spans="1:6" x14ac:dyDescent="0.2">
      <c r="A88" s="360"/>
      <c r="B88" s="360">
        <f>'[1]Examens accrédités et ajouts'!B718</f>
        <v>0</v>
      </c>
      <c r="C88" s="360">
        <f>'[1]Examens accrédités et ajouts'!F718</f>
        <v>0</v>
      </c>
      <c r="D88" s="361">
        <f>'[1]Examens accrédités et ajouts'!Q718</f>
        <v>0</v>
      </c>
      <c r="E88" s="360">
        <f>'[1]Examens accrédités et ajouts'!L718</f>
        <v>0</v>
      </c>
      <c r="F88" s="360">
        <f>'[1]Examens accrédités et ajouts'!M718</f>
        <v>0</v>
      </c>
    </row>
    <row r="89" spans="1:6" x14ac:dyDescent="0.2">
      <c r="A89" s="360"/>
      <c r="B89" s="360">
        <f>'[1]Examens accrédités et ajouts'!B719</f>
        <v>0</v>
      </c>
      <c r="C89" s="360">
        <f>'[1]Examens accrédités et ajouts'!F719</f>
        <v>0</v>
      </c>
      <c r="D89" s="361">
        <f>'[1]Examens accrédités et ajouts'!Q719</f>
        <v>0</v>
      </c>
      <c r="E89" s="360">
        <f>'[1]Examens accrédités et ajouts'!L719</f>
        <v>0</v>
      </c>
      <c r="F89" s="360">
        <f>'[1]Examens accrédités et ajouts'!M719</f>
        <v>0</v>
      </c>
    </row>
    <row r="90" spans="1:6" x14ac:dyDescent="0.2">
      <c r="A90" s="360"/>
      <c r="B90" s="360">
        <f>'[1]Examens accrédités et ajouts'!B720</f>
        <v>0</v>
      </c>
      <c r="C90" s="360">
        <f>'[1]Examens accrédités et ajouts'!F720</f>
        <v>0</v>
      </c>
      <c r="D90" s="361">
        <f>'[1]Examens accrédités et ajouts'!Q720</f>
        <v>0</v>
      </c>
      <c r="E90" s="360">
        <f>'[1]Examens accrédités et ajouts'!L720</f>
        <v>0</v>
      </c>
      <c r="F90" s="360">
        <f>'[1]Examens accrédités et ajouts'!M720</f>
        <v>0</v>
      </c>
    </row>
    <row r="91" spans="1:6" x14ac:dyDescent="0.2">
      <c r="A91" s="360"/>
      <c r="B91" s="360">
        <f>'[1]Examens accrédités et ajouts'!B721</f>
        <v>0</v>
      </c>
      <c r="C91" s="360">
        <f>'[1]Examens accrédités et ajouts'!F721</f>
        <v>0</v>
      </c>
      <c r="D91" s="361">
        <f>'[1]Examens accrédités et ajouts'!Q721</f>
        <v>0</v>
      </c>
      <c r="E91" s="360">
        <f>'[1]Examens accrédités et ajouts'!L721</f>
        <v>0</v>
      </c>
      <c r="F91" s="360">
        <f>'[1]Examens accrédités et ajouts'!M721</f>
        <v>0</v>
      </c>
    </row>
    <row r="92" spans="1:6" x14ac:dyDescent="0.2">
      <c r="A92" s="360"/>
      <c r="B92" s="360">
        <f>'[1]Examens accrédités et ajouts'!B722</f>
        <v>0</v>
      </c>
      <c r="C92" s="360">
        <f>'[1]Examens accrédités et ajouts'!F722</f>
        <v>0</v>
      </c>
      <c r="D92" s="361">
        <f>'[1]Examens accrédités et ajouts'!Q722</f>
        <v>0</v>
      </c>
      <c r="E92" s="360">
        <f>'[1]Examens accrédités et ajouts'!L722</f>
        <v>0</v>
      </c>
      <c r="F92" s="360">
        <f>'[1]Examens accrédités et ajouts'!M722</f>
        <v>0</v>
      </c>
    </row>
    <row r="93" spans="1:6" x14ac:dyDescent="0.2">
      <c r="A93" s="360"/>
      <c r="B93" s="360">
        <f>'[1]Examens accrédités et ajouts'!B723</f>
        <v>0</v>
      </c>
      <c r="C93" s="360">
        <f>'[1]Examens accrédités et ajouts'!F723</f>
        <v>0</v>
      </c>
      <c r="D93" s="361">
        <f>'[1]Examens accrédités et ajouts'!Q723</f>
        <v>0</v>
      </c>
      <c r="E93" s="360">
        <f>'[1]Examens accrédités et ajouts'!L723</f>
        <v>0</v>
      </c>
      <c r="F93" s="360">
        <f>'[1]Examens accrédités et ajouts'!M723</f>
        <v>0</v>
      </c>
    </row>
    <row r="94" spans="1:6" x14ac:dyDescent="0.2">
      <c r="A94" s="360"/>
      <c r="B94" s="360">
        <f>'[1]Examens accrédités et ajouts'!B724</f>
        <v>0</v>
      </c>
      <c r="C94" s="360">
        <f>'[1]Examens accrédités et ajouts'!F724</f>
        <v>0</v>
      </c>
      <c r="D94" s="361">
        <f>'[1]Examens accrédités et ajouts'!Q724</f>
        <v>0</v>
      </c>
      <c r="E94" s="360">
        <f>'[1]Examens accrédités et ajouts'!L724</f>
        <v>0</v>
      </c>
      <c r="F94" s="360">
        <f>'[1]Examens accrédités et ajouts'!M724</f>
        <v>0</v>
      </c>
    </row>
    <row r="95" spans="1:6" x14ac:dyDescent="0.2">
      <c r="A95" s="360"/>
      <c r="B95" s="360">
        <f>'[1]Examens accrédités et ajouts'!B725</f>
        <v>0</v>
      </c>
      <c r="C95" s="360">
        <f>'[1]Examens accrédités et ajouts'!F725</f>
        <v>0</v>
      </c>
      <c r="D95" s="361">
        <f>'[1]Examens accrédités et ajouts'!Q725</f>
        <v>0</v>
      </c>
      <c r="E95" s="360">
        <f>'[1]Examens accrédités et ajouts'!L725</f>
        <v>0</v>
      </c>
      <c r="F95" s="360">
        <f>'[1]Examens accrédités et ajouts'!M725</f>
        <v>0</v>
      </c>
    </row>
    <row r="96" spans="1:6" x14ac:dyDescent="0.2">
      <c r="A96" s="360"/>
      <c r="B96" s="360">
        <f>'[1]Examens accrédités et ajouts'!B726</f>
        <v>0</v>
      </c>
      <c r="C96" s="360">
        <f>'[1]Examens accrédités et ajouts'!F726</f>
        <v>0</v>
      </c>
      <c r="D96" s="361">
        <f>'[1]Examens accrédités et ajouts'!Q726</f>
        <v>0</v>
      </c>
      <c r="E96" s="360">
        <f>'[1]Examens accrédités et ajouts'!L726</f>
        <v>0</v>
      </c>
      <c r="F96" s="360">
        <f>'[1]Examens accrédités et ajouts'!M726</f>
        <v>0</v>
      </c>
    </row>
    <row r="97" spans="1:6" x14ac:dyDescent="0.2">
      <c r="A97" s="360"/>
      <c r="B97" s="360">
        <f>'[1]Examens accrédités et ajouts'!B727</f>
        <v>0</v>
      </c>
      <c r="C97" s="360">
        <f>'[1]Examens accrédités et ajouts'!F727</f>
        <v>0</v>
      </c>
      <c r="D97" s="361">
        <f>'[1]Examens accrédités et ajouts'!Q727</f>
        <v>0</v>
      </c>
      <c r="E97" s="360">
        <f>'[1]Examens accrédités et ajouts'!L727</f>
        <v>0</v>
      </c>
      <c r="F97" s="360">
        <f>'[1]Examens accrédités et ajouts'!M727</f>
        <v>0</v>
      </c>
    </row>
    <row r="98" spans="1:6" x14ac:dyDescent="0.2">
      <c r="A98" s="360"/>
      <c r="B98" s="360">
        <f>'[1]Examens accrédités et ajouts'!B728</f>
        <v>0</v>
      </c>
      <c r="C98" s="360">
        <f>'[1]Examens accrédités et ajouts'!F728</f>
        <v>0</v>
      </c>
      <c r="D98" s="361">
        <f>'[1]Examens accrédités et ajouts'!Q728</f>
        <v>0</v>
      </c>
      <c r="E98" s="360">
        <f>'[1]Examens accrédités et ajouts'!L728</f>
        <v>0</v>
      </c>
      <c r="F98" s="360">
        <f>'[1]Examens accrédités et ajouts'!M728</f>
        <v>0</v>
      </c>
    </row>
    <row r="99" spans="1:6" x14ac:dyDescent="0.2">
      <c r="A99" s="360"/>
      <c r="B99" s="360">
        <f>'[1]Examens accrédités et ajouts'!B729</f>
        <v>0</v>
      </c>
      <c r="C99" s="360">
        <f>'[1]Examens accrédités et ajouts'!F729</f>
        <v>0</v>
      </c>
      <c r="D99" s="361">
        <f>'[1]Examens accrédités et ajouts'!Q729</f>
        <v>0</v>
      </c>
      <c r="E99" s="360">
        <f>'[1]Examens accrédités et ajouts'!L729</f>
        <v>0</v>
      </c>
      <c r="F99" s="360">
        <f>'[1]Examens accrédités et ajouts'!M729</f>
        <v>0</v>
      </c>
    </row>
    <row r="100" spans="1:6" x14ac:dyDescent="0.2">
      <c r="A100" s="360"/>
      <c r="B100" s="360">
        <f>'[1]Examens accrédités et ajouts'!B730</f>
        <v>0</v>
      </c>
      <c r="C100" s="360">
        <f>'[1]Examens accrédités et ajouts'!F730</f>
        <v>0</v>
      </c>
      <c r="D100" s="361">
        <f>'[1]Examens accrédités et ajouts'!Q730</f>
        <v>0</v>
      </c>
      <c r="E100" s="360">
        <f>'[1]Examens accrédités et ajouts'!L730</f>
        <v>0</v>
      </c>
      <c r="F100" s="360">
        <f>'[1]Examens accrédités et ajouts'!M730</f>
        <v>0</v>
      </c>
    </row>
    <row r="101" spans="1:6" x14ac:dyDescent="0.2">
      <c r="A101" s="360"/>
      <c r="B101" s="360">
        <f>'[1]Examens accrédités et ajouts'!B731</f>
        <v>0</v>
      </c>
      <c r="C101" s="360">
        <f>'[1]Examens accrédités et ajouts'!F731</f>
        <v>0</v>
      </c>
      <c r="D101" s="361">
        <f>'[1]Examens accrédités et ajouts'!Q731</f>
        <v>0</v>
      </c>
      <c r="E101" s="360">
        <f>'[1]Examens accrédités et ajouts'!L731</f>
        <v>0</v>
      </c>
      <c r="F101" s="360">
        <f>'[1]Examens accrédités et ajouts'!M731</f>
        <v>0</v>
      </c>
    </row>
    <row r="102" spans="1:6" x14ac:dyDescent="0.2">
      <c r="A102" s="360"/>
      <c r="B102" s="360">
        <f>'[1]Examens accrédités et ajouts'!B732</f>
        <v>0</v>
      </c>
      <c r="C102" s="360">
        <f>'[1]Examens accrédités et ajouts'!F732</f>
        <v>0</v>
      </c>
      <c r="D102" s="361">
        <f>'[1]Examens accrédités et ajouts'!Q732</f>
        <v>0</v>
      </c>
      <c r="E102" s="360">
        <f>'[1]Examens accrédités et ajouts'!L732</f>
        <v>0</v>
      </c>
      <c r="F102" s="360">
        <f>'[1]Examens accrédités et ajouts'!M732</f>
        <v>0</v>
      </c>
    </row>
    <row r="103" spans="1:6" x14ac:dyDescent="0.2">
      <c r="A103" s="360"/>
      <c r="B103" s="360">
        <f>'[1]Examens accrédités et ajouts'!B733</f>
        <v>0</v>
      </c>
      <c r="C103" s="360">
        <f>'[1]Examens accrédités et ajouts'!F733</f>
        <v>0</v>
      </c>
      <c r="D103" s="361">
        <f>'[1]Examens accrédités et ajouts'!Q733</f>
        <v>0</v>
      </c>
      <c r="E103" s="360">
        <f>'[1]Examens accrédités et ajouts'!L733</f>
        <v>0</v>
      </c>
      <c r="F103" s="360">
        <f>'[1]Examens accrédités et ajouts'!M733</f>
        <v>0</v>
      </c>
    </row>
    <row r="104" spans="1:6" x14ac:dyDescent="0.2">
      <c r="A104" s="360"/>
      <c r="B104" s="360">
        <f>'[1]Examens accrédités et ajouts'!B734</f>
        <v>0</v>
      </c>
      <c r="C104" s="360">
        <f>'[1]Examens accrédités et ajouts'!F734</f>
        <v>0</v>
      </c>
      <c r="D104" s="361">
        <f>'[1]Examens accrédités et ajouts'!Q734</f>
        <v>0</v>
      </c>
      <c r="E104" s="360">
        <f>'[1]Examens accrédités et ajouts'!L734</f>
        <v>0</v>
      </c>
      <c r="F104" s="360">
        <f>'[1]Examens accrédités et ajouts'!M734</f>
        <v>0</v>
      </c>
    </row>
    <row r="105" spans="1:6" x14ac:dyDescent="0.2">
      <c r="A105" s="360"/>
      <c r="B105" s="360">
        <f>'[1]Examens accrédités et ajouts'!B735</f>
        <v>0</v>
      </c>
      <c r="C105" s="360">
        <f>'[1]Examens accrédités et ajouts'!F735</f>
        <v>0</v>
      </c>
      <c r="D105" s="361">
        <f>'[1]Examens accrédités et ajouts'!Q735</f>
        <v>0</v>
      </c>
      <c r="E105" s="360">
        <f>'[1]Examens accrédités et ajouts'!L735</f>
        <v>0</v>
      </c>
      <c r="F105" s="360">
        <f>'[1]Examens accrédités et ajouts'!M735</f>
        <v>0</v>
      </c>
    </row>
    <row r="106" spans="1:6" x14ac:dyDescent="0.2">
      <c r="A106" s="360"/>
      <c r="B106" s="360">
        <f>'[1]Examens accrédités et ajouts'!B736</f>
        <v>0</v>
      </c>
      <c r="C106" s="360">
        <f>'[1]Examens accrédités et ajouts'!F736</f>
        <v>0</v>
      </c>
      <c r="D106" s="361">
        <f>'[1]Examens accrédités et ajouts'!Q736</f>
        <v>0</v>
      </c>
      <c r="E106" s="360">
        <f>'[1]Examens accrédités et ajouts'!L736</f>
        <v>0</v>
      </c>
      <c r="F106" s="360">
        <f>'[1]Examens accrédités et ajouts'!M736</f>
        <v>0</v>
      </c>
    </row>
    <row r="107" spans="1:6" x14ac:dyDescent="0.2">
      <c r="A107" s="360"/>
      <c r="B107" s="360">
        <f>'[1]Examens accrédités et ajouts'!B737</f>
        <v>0</v>
      </c>
      <c r="C107" s="360">
        <f>'[1]Examens accrédités et ajouts'!F737</f>
        <v>0</v>
      </c>
      <c r="D107" s="361">
        <f>'[1]Examens accrédités et ajouts'!Q737</f>
        <v>0</v>
      </c>
      <c r="E107" s="360">
        <f>'[1]Examens accrédités et ajouts'!L737</f>
        <v>0</v>
      </c>
      <c r="F107" s="360">
        <f>'[1]Examens accrédités et ajouts'!M737</f>
        <v>0</v>
      </c>
    </row>
    <row r="108" spans="1:6" x14ac:dyDescent="0.2">
      <c r="A108" s="360"/>
      <c r="B108" s="360">
        <f>'[1]Examens accrédités et ajouts'!B738</f>
        <v>0</v>
      </c>
      <c r="C108" s="360">
        <f>'[1]Examens accrédités et ajouts'!F738</f>
        <v>0</v>
      </c>
      <c r="D108" s="361">
        <f>'[1]Examens accrédités et ajouts'!Q738</f>
        <v>0</v>
      </c>
      <c r="E108" s="360">
        <f>'[1]Examens accrédités et ajouts'!L738</f>
        <v>0</v>
      </c>
      <c r="F108" s="360">
        <f>'[1]Examens accrédités et ajouts'!M738</f>
        <v>0</v>
      </c>
    </row>
    <row r="109" spans="1:6" x14ac:dyDescent="0.2">
      <c r="A109" s="360"/>
      <c r="B109" s="360">
        <f>'[1]Examens accrédités et ajouts'!B739</f>
        <v>0</v>
      </c>
      <c r="C109" s="360">
        <f>'[1]Examens accrédités et ajouts'!F739</f>
        <v>0</v>
      </c>
      <c r="D109" s="361">
        <f>'[1]Examens accrédités et ajouts'!Q739</f>
        <v>0</v>
      </c>
      <c r="E109" s="360">
        <f>'[1]Examens accrédités et ajouts'!L739</f>
        <v>0</v>
      </c>
      <c r="F109" s="360">
        <f>'[1]Examens accrédités et ajouts'!M739</f>
        <v>0</v>
      </c>
    </row>
    <row r="110" spans="1:6" x14ac:dyDescent="0.2">
      <c r="A110" s="360"/>
      <c r="B110" s="360">
        <f>'[1]Examens accrédités et ajouts'!B740</f>
        <v>0</v>
      </c>
      <c r="C110" s="360">
        <f>'[1]Examens accrédités et ajouts'!F740</f>
        <v>0</v>
      </c>
      <c r="D110" s="361">
        <f>'[1]Examens accrédités et ajouts'!Q740</f>
        <v>0</v>
      </c>
      <c r="E110" s="360">
        <f>'[1]Examens accrédités et ajouts'!L740</f>
        <v>0</v>
      </c>
      <c r="F110" s="360">
        <f>'[1]Examens accrédités et ajouts'!M740</f>
        <v>0</v>
      </c>
    </row>
    <row r="111" spans="1:6" x14ac:dyDescent="0.2">
      <c r="A111" s="360"/>
      <c r="B111" s="360">
        <f>'[1]Examens accrédités et ajouts'!B741</f>
        <v>0</v>
      </c>
      <c r="C111" s="360">
        <f>'[1]Examens accrédités et ajouts'!F741</f>
        <v>0</v>
      </c>
      <c r="D111" s="361">
        <f>'[1]Examens accrédités et ajouts'!Q741</f>
        <v>0</v>
      </c>
      <c r="E111" s="360">
        <f>'[1]Examens accrédités et ajouts'!L741</f>
        <v>0</v>
      </c>
      <c r="F111" s="360">
        <f>'[1]Examens accrédités et ajouts'!M741</f>
        <v>0</v>
      </c>
    </row>
    <row r="112" spans="1:6" x14ac:dyDescent="0.2">
      <c r="A112" s="360"/>
      <c r="B112" s="360">
        <f>'[1]Examens accrédités et ajouts'!B742</f>
        <v>0</v>
      </c>
      <c r="C112" s="360">
        <f>'[1]Examens accrédités et ajouts'!F742</f>
        <v>0</v>
      </c>
      <c r="D112" s="361">
        <f>'[1]Examens accrédités et ajouts'!Q742</f>
        <v>0</v>
      </c>
      <c r="E112" s="360">
        <f>'[1]Examens accrédités et ajouts'!L742</f>
        <v>0</v>
      </c>
      <c r="F112" s="360">
        <f>'[1]Examens accrédités et ajouts'!M742</f>
        <v>0</v>
      </c>
    </row>
    <row r="113" spans="1:6" x14ac:dyDescent="0.2">
      <c r="A113" s="360"/>
      <c r="B113" s="360">
        <f>'[1]Examens accrédités et ajouts'!B743</f>
        <v>0</v>
      </c>
      <c r="C113" s="360">
        <f>'[1]Examens accrédités et ajouts'!F743</f>
        <v>0</v>
      </c>
      <c r="D113" s="361">
        <f>'[1]Examens accrédités et ajouts'!Q743</f>
        <v>0</v>
      </c>
      <c r="E113" s="360">
        <f>'[1]Examens accrédités et ajouts'!L743</f>
        <v>0</v>
      </c>
      <c r="F113" s="360">
        <f>'[1]Examens accrédités et ajouts'!M743</f>
        <v>0</v>
      </c>
    </row>
    <row r="114" spans="1:6" x14ac:dyDescent="0.2">
      <c r="A114" s="360"/>
      <c r="B114" s="360">
        <f>'[1]Examens accrédités et ajouts'!B744</f>
        <v>0</v>
      </c>
      <c r="C114" s="360">
        <f>'[1]Examens accrédités et ajouts'!F744</f>
        <v>0</v>
      </c>
      <c r="D114" s="361">
        <f>'[1]Examens accrédités et ajouts'!Q744</f>
        <v>0</v>
      </c>
      <c r="E114" s="360">
        <f>'[1]Examens accrédités et ajouts'!L744</f>
        <v>0</v>
      </c>
      <c r="F114" s="360">
        <f>'[1]Examens accrédités et ajouts'!M744</f>
        <v>0</v>
      </c>
    </row>
    <row r="115" spans="1:6" x14ac:dyDescent="0.2">
      <c r="A115" s="360"/>
      <c r="B115" s="360">
        <f>'[1]Examens accrédités et ajouts'!B745</f>
        <v>0</v>
      </c>
      <c r="C115" s="360">
        <f>'[1]Examens accrédités et ajouts'!F745</f>
        <v>0</v>
      </c>
      <c r="D115" s="361">
        <f>'[1]Examens accrédités et ajouts'!Q745</f>
        <v>0</v>
      </c>
      <c r="E115" s="360">
        <f>'[1]Examens accrédités et ajouts'!L745</f>
        <v>0</v>
      </c>
      <c r="F115" s="360">
        <f>'[1]Examens accrédités et ajouts'!M745</f>
        <v>0</v>
      </c>
    </row>
    <row r="116" spans="1:6" x14ac:dyDescent="0.2">
      <c r="A116" s="360"/>
      <c r="B116" s="360">
        <f>'[1]Examens accrédités et ajouts'!B746</f>
        <v>0</v>
      </c>
      <c r="C116" s="360">
        <f>'[1]Examens accrédités et ajouts'!F746</f>
        <v>0</v>
      </c>
      <c r="D116" s="361">
        <f>'[1]Examens accrédités et ajouts'!Q746</f>
        <v>0</v>
      </c>
      <c r="E116" s="360">
        <f>'[1]Examens accrédités et ajouts'!L746</f>
        <v>0</v>
      </c>
      <c r="F116" s="360">
        <f>'[1]Examens accrédités et ajouts'!M746</f>
        <v>0</v>
      </c>
    </row>
    <row r="117" spans="1:6" x14ac:dyDescent="0.2">
      <c r="A117" s="360"/>
      <c r="B117" s="360">
        <f>'[1]Examens accrédités et ajouts'!B747</f>
        <v>0</v>
      </c>
      <c r="C117" s="360">
        <f>'[1]Examens accrédités et ajouts'!F747</f>
        <v>0</v>
      </c>
      <c r="D117" s="361">
        <f>'[1]Examens accrédités et ajouts'!Q747</f>
        <v>0</v>
      </c>
      <c r="E117" s="360">
        <f>'[1]Examens accrédités et ajouts'!L747</f>
        <v>0</v>
      </c>
      <c r="F117" s="360">
        <f>'[1]Examens accrédités et ajouts'!M747</f>
        <v>0</v>
      </c>
    </row>
    <row r="118" spans="1:6" x14ac:dyDescent="0.2">
      <c r="A118" s="360"/>
      <c r="B118" s="360">
        <f>'[1]Examens accrédités et ajouts'!B748</f>
        <v>0</v>
      </c>
      <c r="C118" s="360">
        <f>'[1]Examens accrédités et ajouts'!F748</f>
        <v>0</v>
      </c>
      <c r="D118" s="361">
        <f>'[1]Examens accrédités et ajouts'!Q748</f>
        <v>0</v>
      </c>
      <c r="E118" s="360">
        <f>'[1]Examens accrédités et ajouts'!L748</f>
        <v>0</v>
      </c>
      <c r="F118" s="360">
        <f>'[1]Examens accrédités et ajouts'!M748</f>
        <v>0</v>
      </c>
    </row>
    <row r="119" spans="1:6" x14ac:dyDescent="0.2">
      <c r="A119" s="360"/>
      <c r="B119" s="360">
        <f>'[1]Examens accrédités et ajouts'!B749</f>
        <v>0</v>
      </c>
      <c r="C119" s="360">
        <f>'[1]Examens accrédités et ajouts'!F749</f>
        <v>0</v>
      </c>
      <c r="D119" s="361">
        <f>'[1]Examens accrédités et ajouts'!Q749</f>
        <v>0</v>
      </c>
      <c r="E119" s="360">
        <f>'[1]Examens accrédités et ajouts'!L749</f>
        <v>0</v>
      </c>
      <c r="F119" s="360">
        <f>'[1]Examens accrédités et ajouts'!M749</f>
        <v>0</v>
      </c>
    </row>
    <row r="120" spans="1:6" x14ac:dyDescent="0.2">
      <c r="A120" s="360"/>
      <c r="B120" s="360">
        <f>'[1]Examens accrédités et ajouts'!B750</f>
        <v>0</v>
      </c>
      <c r="C120" s="360">
        <f>'[1]Examens accrédités et ajouts'!F750</f>
        <v>0</v>
      </c>
      <c r="D120" s="361">
        <f>'[1]Examens accrédités et ajouts'!Q750</f>
        <v>0</v>
      </c>
      <c r="E120" s="360">
        <f>'[1]Examens accrédités et ajouts'!L750</f>
        <v>0</v>
      </c>
      <c r="F120" s="360">
        <f>'[1]Examens accrédités et ajouts'!M750</f>
        <v>0</v>
      </c>
    </row>
    <row r="121" spans="1:6" x14ac:dyDescent="0.2">
      <c r="A121" s="360"/>
      <c r="B121" s="360">
        <f>'[1]Examens accrédités et ajouts'!B751</f>
        <v>0</v>
      </c>
      <c r="C121" s="360">
        <f>'[1]Examens accrédités et ajouts'!F751</f>
        <v>0</v>
      </c>
      <c r="D121" s="361">
        <f>'[1]Examens accrédités et ajouts'!Q751</f>
        <v>0</v>
      </c>
      <c r="E121" s="360">
        <f>'[1]Examens accrédités et ajouts'!L751</f>
        <v>0</v>
      </c>
      <c r="F121" s="360">
        <f>'[1]Examens accrédités et ajouts'!M751</f>
        <v>0</v>
      </c>
    </row>
    <row r="122" spans="1:6" x14ac:dyDescent="0.2">
      <c r="A122" s="360"/>
      <c r="B122" s="360">
        <f>'[1]Examens accrédités et ajouts'!B752</f>
        <v>0</v>
      </c>
      <c r="C122" s="360">
        <f>'[1]Examens accrédités et ajouts'!F752</f>
        <v>0</v>
      </c>
      <c r="D122" s="361">
        <f>'[1]Examens accrédités et ajouts'!Q752</f>
        <v>0</v>
      </c>
      <c r="E122" s="360">
        <f>'[1]Examens accrédités et ajouts'!L752</f>
        <v>0</v>
      </c>
      <c r="F122" s="360">
        <f>'[1]Examens accrédités et ajouts'!M752</f>
        <v>0</v>
      </c>
    </row>
    <row r="123" spans="1:6" x14ac:dyDescent="0.2">
      <c r="A123" s="360"/>
      <c r="B123" s="360">
        <f>'[1]Examens accrédités et ajouts'!B753</f>
        <v>0</v>
      </c>
      <c r="C123" s="360">
        <f>'[1]Examens accrédités et ajouts'!F753</f>
        <v>0</v>
      </c>
      <c r="D123" s="361">
        <f>'[1]Examens accrédités et ajouts'!Q753</f>
        <v>0</v>
      </c>
      <c r="E123" s="360">
        <f>'[1]Examens accrédités et ajouts'!L753</f>
        <v>0</v>
      </c>
      <c r="F123" s="360">
        <f>'[1]Examens accrédités et ajouts'!M753</f>
        <v>0</v>
      </c>
    </row>
    <row r="124" spans="1:6" x14ac:dyDescent="0.2">
      <c r="A124" s="360"/>
      <c r="B124" s="360">
        <f>'[1]Examens accrédités et ajouts'!B754</f>
        <v>0</v>
      </c>
      <c r="C124" s="360">
        <f>'[1]Examens accrédités et ajouts'!F754</f>
        <v>0</v>
      </c>
      <c r="D124" s="361">
        <f>'[1]Examens accrédités et ajouts'!Q754</f>
        <v>0</v>
      </c>
      <c r="E124" s="360">
        <f>'[1]Examens accrédités et ajouts'!L754</f>
        <v>0</v>
      </c>
      <c r="F124" s="360">
        <f>'[1]Examens accrédités et ajouts'!M754</f>
        <v>0</v>
      </c>
    </row>
    <row r="125" spans="1:6" x14ac:dyDescent="0.2">
      <c r="A125" s="360"/>
      <c r="B125" s="360">
        <f>'[1]Examens accrédités et ajouts'!B755</f>
        <v>0</v>
      </c>
      <c r="C125" s="360">
        <f>'[1]Examens accrédités et ajouts'!F755</f>
        <v>0</v>
      </c>
      <c r="D125" s="361">
        <f>'[1]Examens accrédités et ajouts'!Q755</f>
        <v>0</v>
      </c>
      <c r="E125" s="360">
        <f>'[1]Examens accrédités et ajouts'!L755</f>
        <v>0</v>
      </c>
      <c r="F125" s="360">
        <f>'[1]Examens accrédités et ajouts'!M755</f>
        <v>0</v>
      </c>
    </row>
    <row r="126" spans="1:6" x14ac:dyDescent="0.2">
      <c r="A126" s="360"/>
      <c r="B126" s="360">
        <f>'[1]Examens accrédités et ajouts'!B756</f>
        <v>0</v>
      </c>
      <c r="C126" s="360">
        <f>'[1]Examens accrédités et ajouts'!F756</f>
        <v>0</v>
      </c>
      <c r="D126" s="361">
        <f>'[1]Examens accrédités et ajouts'!Q756</f>
        <v>0</v>
      </c>
      <c r="E126" s="360">
        <f>'[1]Examens accrédités et ajouts'!L756</f>
        <v>0</v>
      </c>
      <c r="F126" s="360">
        <f>'[1]Examens accrédités et ajouts'!M756</f>
        <v>0</v>
      </c>
    </row>
    <row r="127" spans="1:6" x14ac:dyDescent="0.2">
      <c r="A127" s="360"/>
      <c r="B127" s="360">
        <f>'[1]Examens accrédités et ajouts'!B757</f>
        <v>0</v>
      </c>
      <c r="C127" s="360">
        <f>'[1]Examens accrédités et ajouts'!F757</f>
        <v>0</v>
      </c>
      <c r="D127" s="361">
        <f>'[1]Examens accrédités et ajouts'!Q757</f>
        <v>0</v>
      </c>
      <c r="E127" s="360">
        <f>'[1]Examens accrédités et ajouts'!L757</f>
        <v>0</v>
      </c>
      <c r="F127" s="360">
        <f>'[1]Examens accrédités et ajouts'!M757</f>
        <v>0</v>
      </c>
    </row>
    <row r="128" spans="1:6" x14ac:dyDescent="0.2">
      <c r="A128" s="360"/>
      <c r="B128" s="360">
        <f>'[1]Examens accrédités et ajouts'!B758</f>
        <v>0</v>
      </c>
      <c r="C128" s="360">
        <f>'[1]Examens accrédités et ajouts'!F758</f>
        <v>0</v>
      </c>
      <c r="D128" s="361">
        <f>'[1]Examens accrédités et ajouts'!Q758</f>
        <v>0</v>
      </c>
      <c r="E128" s="360">
        <f>'[1]Examens accrédités et ajouts'!L758</f>
        <v>0</v>
      </c>
      <c r="F128" s="360">
        <f>'[1]Examens accrédités et ajouts'!M758</f>
        <v>0</v>
      </c>
    </row>
    <row r="129" spans="1:6" x14ac:dyDescent="0.2">
      <c r="A129" s="360"/>
      <c r="B129" s="360">
        <f>'[1]Examens accrédités et ajouts'!B759</f>
        <v>0</v>
      </c>
      <c r="C129" s="360">
        <f>'[1]Examens accrédités et ajouts'!F759</f>
        <v>0</v>
      </c>
      <c r="D129" s="361">
        <f>'[1]Examens accrédités et ajouts'!Q759</f>
        <v>0</v>
      </c>
      <c r="E129" s="360">
        <f>'[1]Examens accrédités et ajouts'!L759</f>
        <v>0</v>
      </c>
      <c r="F129" s="360">
        <f>'[1]Examens accrédités et ajouts'!M759</f>
        <v>0</v>
      </c>
    </row>
    <row r="130" spans="1:6" x14ac:dyDescent="0.2">
      <c r="A130" s="360"/>
      <c r="B130" s="360">
        <f>'[1]Examens accrédités et ajouts'!B760</f>
        <v>0</v>
      </c>
      <c r="C130" s="360">
        <f>'[1]Examens accrédités et ajouts'!F760</f>
        <v>0</v>
      </c>
      <c r="D130" s="361">
        <f>'[1]Examens accrédités et ajouts'!Q760</f>
        <v>0</v>
      </c>
      <c r="E130" s="360">
        <f>'[1]Examens accrédités et ajouts'!L760</f>
        <v>0</v>
      </c>
      <c r="F130" s="360">
        <f>'[1]Examens accrédités et ajouts'!M760</f>
        <v>0</v>
      </c>
    </row>
    <row r="131" spans="1:6" x14ac:dyDescent="0.2">
      <c r="A131" s="360"/>
      <c r="B131" s="360">
        <f>'[1]Examens accrédités et ajouts'!B761</f>
        <v>0</v>
      </c>
      <c r="C131" s="360">
        <f>'[1]Examens accrédités et ajouts'!F761</f>
        <v>0</v>
      </c>
      <c r="D131" s="361">
        <f>'[1]Examens accrédités et ajouts'!Q761</f>
        <v>0</v>
      </c>
      <c r="E131" s="360">
        <f>'[1]Examens accrédités et ajouts'!L761</f>
        <v>0</v>
      </c>
      <c r="F131" s="360">
        <f>'[1]Examens accrédités et ajouts'!M761</f>
        <v>0</v>
      </c>
    </row>
    <row r="132" spans="1:6" x14ac:dyDescent="0.2">
      <c r="A132" s="360"/>
      <c r="B132" s="360">
        <f>'[1]Examens accrédités et ajouts'!B762</f>
        <v>0</v>
      </c>
      <c r="C132" s="360">
        <f>'[1]Examens accrédités et ajouts'!F762</f>
        <v>0</v>
      </c>
      <c r="D132" s="361">
        <f>'[1]Examens accrédités et ajouts'!Q762</f>
        <v>0</v>
      </c>
      <c r="E132" s="360">
        <f>'[1]Examens accrédités et ajouts'!L762</f>
        <v>0</v>
      </c>
      <c r="F132" s="360">
        <f>'[1]Examens accrédités et ajouts'!M762</f>
        <v>0</v>
      </c>
    </row>
    <row r="133" spans="1:6" x14ac:dyDescent="0.2">
      <c r="A133" s="360"/>
      <c r="B133" s="360">
        <f>'[1]Examens accrédités et ajouts'!B763</f>
        <v>0</v>
      </c>
      <c r="C133" s="360">
        <f>'[1]Examens accrédités et ajouts'!F763</f>
        <v>0</v>
      </c>
      <c r="D133" s="361">
        <f>'[1]Examens accrédités et ajouts'!Q763</f>
        <v>0</v>
      </c>
      <c r="E133" s="360">
        <f>'[1]Examens accrédités et ajouts'!L763</f>
        <v>0</v>
      </c>
      <c r="F133" s="360">
        <f>'[1]Examens accrédités et ajouts'!M763</f>
        <v>0</v>
      </c>
    </row>
    <row r="134" spans="1:6" x14ac:dyDescent="0.2">
      <c r="A134" s="360"/>
      <c r="B134" s="360">
        <f>'[1]Examens accrédités et ajouts'!B764</f>
        <v>0</v>
      </c>
      <c r="C134" s="360">
        <f>'[1]Examens accrédités et ajouts'!F764</f>
        <v>0</v>
      </c>
      <c r="D134" s="361">
        <f>'[1]Examens accrédités et ajouts'!Q764</f>
        <v>0</v>
      </c>
      <c r="E134" s="360">
        <f>'[1]Examens accrédités et ajouts'!L764</f>
        <v>0</v>
      </c>
      <c r="F134" s="360">
        <f>'[1]Examens accrédités et ajouts'!M764</f>
        <v>0</v>
      </c>
    </row>
    <row r="135" spans="1:6" x14ac:dyDescent="0.2">
      <c r="A135" s="360"/>
      <c r="B135" s="360">
        <f>'[1]Examens accrédités et ajouts'!B765</f>
        <v>0</v>
      </c>
      <c r="C135" s="360">
        <f>'[1]Examens accrédités et ajouts'!F765</f>
        <v>0</v>
      </c>
      <c r="D135" s="361">
        <f>'[1]Examens accrédités et ajouts'!Q765</f>
        <v>0</v>
      </c>
      <c r="E135" s="360">
        <f>'[1]Examens accrédités et ajouts'!L765</f>
        <v>0</v>
      </c>
      <c r="F135" s="360">
        <f>'[1]Examens accrédités et ajouts'!M765</f>
        <v>0</v>
      </c>
    </row>
    <row r="136" spans="1:6" x14ac:dyDescent="0.2">
      <c r="A136" s="360"/>
      <c r="B136" s="360">
        <f>'[1]Examens accrédités et ajouts'!B766</f>
        <v>0</v>
      </c>
      <c r="C136" s="360">
        <f>'[1]Examens accrédités et ajouts'!F766</f>
        <v>0</v>
      </c>
      <c r="D136" s="361">
        <f>'[1]Examens accrédités et ajouts'!Q766</f>
        <v>0</v>
      </c>
      <c r="E136" s="360">
        <f>'[1]Examens accrédités et ajouts'!L766</f>
        <v>0</v>
      </c>
      <c r="F136" s="360">
        <f>'[1]Examens accrédités et ajouts'!M766</f>
        <v>0</v>
      </c>
    </row>
    <row r="137" spans="1:6" x14ac:dyDescent="0.2">
      <c r="A137" s="360"/>
      <c r="B137" s="360">
        <f>'[1]Examens accrédités et ajouts'!B767</f>
        <v>0</v>
      </c>
      <c r="C137" s="360">
        <f>'[1]Examens accrédités et ajouts'!F767</f>
        <v>0</v>
      </c>
      <c r="D137" s="361">
        <f>'[1]Examens accrédités et ajouts'!Q767</f>
        <v>0</v>
      </c>
      <c r="E137" s="360">
        <f>'[1]Examens accrédités et ajouts'!L767</f>
        <v>0</v>
      </c>
      <c r="F137" s="360">
        <f>'[1]Examens accrédités et ajouts'!M767</f>
        <v>0</v>
      </c>
    </row>
    <row r="138" spans="1:6" x14ac:dyDescent="0.2">
      <c r="A138" s="360"/>
      <c r="B138" s="360">
        <f>'[1]Examens accrédités et ajouts'!B768</f>
        <v>0</v>
      </c>
      <c r="C138" s="360">
        <f>'[1]Examens accrédités et ajouts'!F768</f>
        <v>0</v>
      </c>
      <c r="D138" s="361">
        <f>'[1]Examens accrédités et ajouts'!Q768</f>
        <v>0</v>
      </c>
      <c r="E138" s="360">
        <f>'[1]Examens accrédités et ajouts'!L768</f>
        <v>0</v>
      </c>
      <c r="F138" s="360">
        <f>'[1]Examens accrédités et ajouts'!M768</f>
        <v>0</v>
      </c>
    </row>
    <row r="139" spans="1:6" x14ac:dyDescent="0.2">
      <c r="A139" s="360"/>
      <c r="B139" s="360">
        <f>'[1]Examens accrédités et ajouts'!B769</f>
        <v>0</v>
      </c>
      <c r="C139" s="360">
        <f>'[1]Examens accrédités et ajouts'!F769</f>
        <v>0</v>
      </c>
      <c r="D139" s="361">
        <f>'[1]Examens accrédités et ajouts'!Q769</f>
        <v>0</v>
      </c>
      <c r="E139" s="360">
        <f>'[1]Examens accrédités et ajouts'!L769</f>
        <v>0</v>
      </c>
      <c r="F139" s="360">
        <f>'[1]Examens accrédités et ajouts'!M769</f>
        <v>0</v>
      </c>
    </row>
    <row r="140" spans="1:6" x14ac:dyDescent="0.2">
      <c r="A140" s="360"/>
      <c r="B140" s="360">
        <f>'[1]Examens accrédités et ajouts'!B770</f>
        <v>0</v>
      </c>
      <c r="C140" s="360">
        <f>'[1]Examens accrédités et ajouts'!F770</f>
        <v>0</v>
      </c>
      <c r="D140" s="361">
        <f>'[1]Examens accrédités et ajouts'!Q770</f>
        <v>0</v>
      </c>
      <c r="E140" s="360">
        <f>'[1]Examens accrédités et ajouts'!L770</f>
        <v>0</v>
      </c>
      <c r="F140" s="360">
        <f>'[1]Examens accrédités et ajouts'!M770</f>
        <v>0</v>
      </c>
    </row>
    <row r="141" spans="1:6" x14ac:dyDescent="0.2">
      <c r="A141" s="360"/>
      <c r="B141" s="360">
        <f>'[1]Examens accrédités et ajouts'!B771</f>
        <v>0</v>
      </c>
      <c r="C141" s="360">
        <f>'[1]Examens accrédités et ajouts'!F771</f>
        <v>0</v>
      </c>
      <c r="D141" s="361">
        <f>'[1]Examens accrédités et ajouts'!Q771</f>
        <v>0</v>
      </c>
      <c r="E141" s="360">
        <f>'[1]Examens accrédités et ajouts'!L771</f>
        <v>0</v>
      </c>
      <c r="F141" s="360">
        <f>'[1]Examens accrédités et ajouts'!M771</f>
        <v>0</v>
      </c>
    </row>
    <row r="142" spans="1:6" x14ac:dyDescent="0.2">
      <c r="A142" s="360"/>
      <c r="B142" s="360">
        <f>'[1]Examens accrédités et ajouts'!B772</f>
        <v>0</v>
      </c>
      <c r="C142" s="360">
        <f>'[1]Examens accrédités et ajouts'!F772</f>
        <v>0</v>
      </c>
      <c r="D142" s="361">
        <f>'[1]Examens accrédités et ajouts'!Q772</f>
        <v>0</v>
      </c>
      <c r="E142" s="360">
        <f>'[1]Examens accrédités et ajouts'!L772</f>
        <v>0</v>
      </c>
      <c r="F142" s="360">
        <f>'[1]Examens accrédités et ajouts'!M772</f>
        <v>0</v>
      </c>
    </row>
    <row r="143" spans="1:6" x14ac:dyDescent="0.2">
      <c r="A143" s="360"/>
      <c r="B143" s="360">
        <f>'[1]Examens accrédités et ajouts'!B773</f>
        <v>0</v>
      </c>
      <c r="C143" s="360">
        <f>'[1]Examens accrédités et ajouts'!F773</f>
        <v>0</v>
      </c>
      <c r="D143" s="361">
        <f>'[1]Examens accrédités et ajouts'!Q773</f>
        <v>0</v>
      </c>
      <c r="E143" s="360">
        <f>'[1]Examens accrédités et ajouts'!L773</f>
        <v>0</v>
      </c>
      <c r="F143" s="360">
        <f>'[1]Examens accrédités et ajouts'!M773</f>
        <v>0</v>
      </c>
    </row>
    <row r="144" spans="1:6" x14ac:dyDescent="0.2">
      <c r="A144" s="360"/>
      <c r="B144" s="360">
        <f>'[1]Examens accrédités et ajouts'!B774</f>
        <v>0</v>
      </c>
      <c r="C144" s="360">
        <f>'[1]Examens accrédités et ajouts'!F774</f>
        <v>0</v>
      </c>
      <c r="D144" s="361">
        <f>'[1]Examens accrédités et ajouts'!Q774</f>
        <v>0</v>
      </c>
      <c r="E144" s="360">
        <f>'[1]Examens accrédités et ajouts'!L774</f>
        <v>0</v>
      </c>
      <c r="F144" s="360">
        <f>'[1]Examens accrédités et ajouts'!M774</f>
        <v>0</v>
      </c>
    </row>
    <row r="145" spans="1:6" x14ac:dyDescent="0.2">
      <c r="A145" s="360"/>
      <c r="B145" s="360">
        <f>'[1]Examens accrédités et ajouts'!B775</f>
        <v>0</v>
      </c>
      <c r="C145" s="360">
        <f>'[1]Examens accrédités et ajouts'!F775</f>
        <v>0</v>
      </c>
      <c r="D145" s="361">
        <f>'[1]Examens accrédités et ajouts'!Q775</f>
        <v>0</v>
      </c>
      <c r="E145" s="360">
        <f>'[1]Examens accrédités et ajouts'!L775</f>
        <v>0</v>
      </c>
      <c r="F145" s="360">
        <f>'[1]Examens accrédités et ajouts'!M775</f>
        <v>0</v>
      </c>
    </row>
    <row r="146" spans="1:6" x14ac:dyDescent="0.2">
      <c r="A146" s="360"/>
      <c r="B146" s="360">
        <f>'[1]Examens accrédités et ajouts'!B776</f>
        <v>0</v>
      </c>
      <c r="C146" s="360">
        <f>'[1]Examens accrédités et ajouts'!F776</f>
        <v>0</v>
      </c>
      <c r="D146" s="361">
        <f>'[1]Examens accrédités et ajouts'!Q776</f>
        <v>0</v>
      </c>
      <c r="E146" s="360">
        <f>'[1]Examens accrédités et ajouts'!L776</f>
        <v>0</v>
      </c>
      <c r="F146" s="360">
        <f>'[1]Examens accrédités et ajouts'!M776</f>
        <v>0</v>
      </c>
    </row>
    <row r="147" spans="1:6" x14ac:dyDescent="0.2">
      <c r="A147" s="360"/>
      <c r="B147" s="360">
        <f>'[1]Examens accrédités et ajouts'!B777</f>
        <v>0</v>
      </c>
      <c r="C147" s="360">
        <f>'[1]Examens accrédités et ajouts'!F777</f>
        <v>0</v>
      </c>
      <c r="D147" s="361">
        <f>'[1]Examens accrédités et ajouts'!Q777</f>
        <v>0</v>
      </c>
      <c r="E147" s="360">
        <f>'[1]Examens accrédités et ajouts'!L777</f>
        <v>0</v>
      </c>
      <c r="F147" s="360">
        <f>'[1]Examens accrédités et ajouts'!M777</f>
        <v>0</v>
      </c>
    </row>
    <row r="148" spans="1:6" x14ac:dyDescent="0.2">
      <c r="A148" s="360"/>
      <c r="B148" s="360">
        <f>'[1]Examens accrédités et ajouts'!B778</f>
        <v>0</v>
      </c>
      <c r="C148" s="360">
        <f>'[1]Examens accrédités et ajouts'!F778</f>
        <v>0</v>
      </c>
      <c r="D148" s="361">
        <f>'[1]Examens accrédités et ajouts'!Q778</f>
        <v>0</v>
      </c>
      <c r="E148" s="360">
        <f>'[1]Examens accrédités et ajouts'!L778</f>
        <v>0</v>
      </c>
      <c r="F148" s="360">
        <f>'[1]Examens accrédités et ajouts'!M778</f>
        <v>0</v>
      </c>
    </row>
    <row r="149" spans="1:6" x14ac:dyDescent="0.2">
      <c r="A149" s="360"/>
      <c r="B149" s="360">
        <f>'[1]Examens accrédités et ajouts'!B779</f>
        <v>0</v>
      </c>
      <c r="C149" s="360">
        <f>'[1]Examens accrédités et ajouts'!F779</f>
        <v>0</v>
      </c>
      <c r="D149" s="361">
        <f>'[1]Examens accrédités et ajouts'!Q779</f>
        <v>0</v>
      </c>
      <c r="E149" s="360">
        <f>'[1]Examens accrédités et ajouts'!L779</f>
        <v>0</v>
      </c>
      <c r="F149" s="360">
        <f>'[1]Examens accrédités et ajouts'!M779</f>
        <v>0</v>
      </c>
    </row>
    <row r="150" spans="1:6" x14ac:dyDescent="0.2">
      <c r="A150" s="360"/>
      <c r="B150" s="360">
        <f>'[1]Examens accrédités et ajouts'!B780</f>
        <v>0</v>
      </c>
      <c r="C150" s="360">
        <f>'[1]Examens accrédités et ajouts'!F780</f>
        <v>0</v>
      </c>
      <c r="D150" s="361">
        <f>'[1]Examens accrédités et ajouts'!Q780</f>
        <v>0</v>
      </c>
      <c r="E150" s="360">
        <f>'[1]Examens accrédités et ajouts'!L780</f>
        <v>0</v>
      </c>
      <c r="F150" s="360">
        <f>'[1]Examens accrédités et ajouts'!M780</f>
        <v>0</v>
      </c>
    </row>
    <row r="151" spans="1:6" x14ac:dyDescent="0.2">
      <c r="A151" s="360"/>
      <c r="B151" s="360">
        <f>'[1]Examens accrédités et ajouts'!B781</f>
        <v>0</v>
      </c>
      <c r="C151" s="360">
        <f>'[1]Examens accrédités et ajouts'!F781</f>
        <v>0</v>
      </c>
      <c r="D151" s="361">
        <f>'[1]Examens accrédités et ajouts'!Q781</f>
        <v>0</v>
      </c>
      <c r="E151" s="360">
        <f>'[1]Examens accrédités et ajouts'!L781</f>
        <v>0</v>
      </c>
      <c r="F151" s="360">
        <f>'[1]Examens accrédités et ajouts'!M781</f>
        <v>0</v>
      </c>
    </row>
    <row r="152" spans="1:6" x14ac:dyDescent="0.2">
      <c r="A152" s="360"/>
      <c r="B152" s="360">
        <f>'[1]Examens accrédités et ajouts'!B782</f>
        <v>0</v>
      </c>
      <c r="C152" s="360">
        <f>'[1]Examens accrédités et ajouts'!F782</f>
        <v>0</v>
      </c>
      <c r="D152" s="361">
        <f>'[1]Examens accrédités et ajouts'!Q782</f>
        <v>0</v>
      </c>
      <c r="E152" s="360">
        <f>'[1]Examens accrédités et ajouts'!L782</f>
        <v>0</v>
      </c>
      <c r="F152" s="360">
        <f>'[1]Examens accrédités et ajouts'!M782</f>
        <v>0</v>
      </c>
    </row>
    <row r="153" spans="1:6" x14ac:dyDescent="0.2">
      <c r="A153" s="360"/>
      <c r="B153" s="360">
        <f>'[1]Examens accrédités et ajouts'!B783</f>
        <v>0</v>
      </c>
      <c r="C153" s="360">
        <f>'[1]Examens accrédités et ajouts'!F783</f>
        <v>0</v>
      </c>
      <c r="D153" s="361">
        <f>'[1]Examens accrédités et ajouts'!Q783</f>
        <v>0</v>
      </c>
      <c r="E153" s="360">
        <f>'[1]Examens accrédités et ajouts'!L783</f>
        <v>0</v>
      </c>
      <c r="F153" s="360">
        <f>'[1]Examens accrédités et ajouts'!M783</f>
        <v>0</v>
      </c>
    </row>
    <row r="154" spans="1:6" x14ac:dyDescent="0.2">
      <c r="A154" s="360"/>
      <c r="B154" s="360">
        <f>'[1]Examens accrédités et ajouts'!B784</f>
        <v>0</v>
      </c>
      <c r="C154" s="360">
        <f>'[1]Examens accrédités et ajouts'!F784</f>
        <v>0</v>
      </c>
      <c r="D154" s="361">
        <f>'[1]Examens accrédités et ajouts'!Q784</f>
        <v>0</v>
      </c>
      <c r="E154" s="360">
        <f>'[1]Examens accrédités et ajouts'!L784</f>
        <v>0</v>
      </c>
      <c r="F154" s="360">
        <f>'[1]Examens accrédités et ajouts'!M784</f>
        <v>0</v>
      </c>
    </row>
    <row r="155" spans="1:6" x14ac:dyDescent="0.2">
      <c r="A155" s="360"/>
      <c r="B155" s="360">
        <f>'[1]Examens accrédités et ajouts'!B785</f>
        <v>0</v>
      </c>
      <c r="C155" s="360">
        <f>'[1]Examens accrédités et ajouts'!F785</f>
        <v>0</v>
      </c>
      <c r="D155" s="361">
        <f>'[1]Examens accrédités et ajouts'!Q785</f>
        <v>0</v>
      </c>
      <c r="E155" s="360">
        <f>'[1]Examens accrédités et ajouts'!L785</f>
        <v>0</v>
      </c>
      <c r="F155" s="360">
        <f>'[1]Examens accrédités et ajouts'!M785</f>
        <v>0</v>
      </c>
    </row>
    <row r="156" spans="1:6" x14ac:dyDescent="0.2">
      <c r="A156" s="360"/>
      <c r="B156" s="360">
        <f>'[1]Examens accrédités et ajouts'!B786</f>
        <v>0</v>
      </c>
      <c r="C156" s="360">
        <f>'[1]Examens accrédités et ajouts'!F786</f>
        <v>0</v>
      </c>
      <c r="D156" s="361">
        <f>'[1]Examens accrédités et ajouts'!Q786</f>
        <v>0</v>
      </c>
      <c r="E156" s="360">
        <f>'[1]Examens accrédités et ajouts'!L786</f>
        <v>0</v>
      </c>
      <c r="F156" s="360">
        <f>'[1]Examens accrédités et ajouts'!M786</f>
        <v>0</v>
      </c>
    </row>
    <row r="157" spans="1:6" x14ac:dyDescent="0.2">
      <c r="A157" s="360"/>
      <c r="B157" s="360"/>
      <c r="C157" s="360"/>
      <c r="D157" s="360"/>
      <c r="E157" s="360"/>
      <c r="F157" s="360"/>
    </row>
    <row r="158" spans="1:6" x14ac:dyDescent="0.2">
      <c r="A158" s="360"/>
      <c r="B158" s="360"/>
      <c r="C158" s="360"/>
      <c r="D158" s="360"/>
      <c r="E158" s="360"/>
      <c r="F158" s="360"/>
    </row>
    <row r="159" spans="1:6" x14ac:dyDescent="0.2">
      <c r="A159" s="360"/>
      <c r="B159" s="360"/>
      <c r="C159" s="360"/>
      <c r="D159" s="360"/>
      <c r="E159" s="360"/>
      <c r="F159" s="360"/>
    </row>
    <row r="160" spans="1:6" x14ac:dyDescent="0.2">
      <c r="A160" s="360"/>
      <c r="B160" s="360"/>
      <c r="C160" s="360"/>
      <c r="D160" s="360"/>
      <c r="E160" s="360"/>
      <c r="F160" s="360"/>
    </row>
    <row r="161" spans="1:6" x14ac:dyDescent="0.2">
      <c r="A161" s="360"/>
      <c r="B161" s="360"/>
      <c r="C161" s="360"/>
      <c r="D161" s="360"/>
      <c r="E161" s="360"/>
      <c r="F161" s="360"/>
    </row>
    <row r="162" spans="1:6" x14ac:dyDescent="0.2">
      <c r="A162" s="360"/>
      <c r="B162" s="360"/>
      <c r="C162" s="360"/>
      <c r="D162" s="360"/>
      <c r="E162" s="360"/>
      <c r="F162" s="360"/>
    </row>
    <row r="163" spans="1:6" x14ac:dyDescent="0.2">
      <c r="A163" s="360"/>
      <c r="B163" s="360"/>
      <c r="C163" s="360"/>
      <c r="D163" s="360"/>
      <c r="E163" s="360"/>
      <c r="F163" s="360"/>
    </row>
    <row r="164" spans="1:6" x14ac:dyDescent="0.2">
      <c r="A164" s="360"/>
      <c r="B164" s="360"/>
      <c r="C164" s="360"/>
      <c r="D164" s="360"/>
      <c r="E164" s="360"/>
      <c r="F164" s="360"/>
    </row>
    <row r="165" spans="1:6" x14ac:dyDescent="0.2">
      <c r="A165" s="360"/>
      <c r="B165" s="360"/>
      <c r="C165" s="360"/>
      <c r="D165" s="360"/>
      <c r="E165" s="360"/>
      <c r="F165" s="360"/>
    </row>
    <row r="166" spans="1:6" x14ac:dyDescent="0.2">
      <c r="A166" s="360"/>
      <c r="B166" s="360"/>
      <c r="C166" s="360"/>
      <c r="D166" s="360"/>
      <c r="E166" s="360"/>
      <c r="F166" s="360"/>
    </row>
    <row r="167" spans="1:6" x14ac:dyDescent="0.2">
      <c r="A167" s="360"/>
      <c r="B167" s="360"/>
      <c r="C167" s="360"/>
      <c r="D167" s="360"/>
      <c r="E167" s="360"/>
      <c r="F167" s="360"/>
    </row>
    <row r="168" spans="1:6" x14ac:dyDescent="0.2">
      <c r="A168" s="360"/>
      <c r="B168" s="360"/>
      <c r="C168" s="360"/>
      <c r="D168" s="360"/>
      <c r="E168" s="360"/>
      <c r="F168" s="360"/>
    </row>
    <row r="169" spans="1:6" x14ac:dyDescent="0.2">
      <c r="A169" s="360"/>
      <c r="B169" s="360"/>
      <c r="C169" s="360"/>
      <c r="D169" s="360"/>
      <c r="E169" s="360"/>
      <c r="F169" s="360"/>
    </row>
    <row r="170" spans="1:6" x14ac:dyDescent="0.2">
      <c r="A170" s="360"/>
      <c r="B170" s="360"/>
      <c r="C170" s="360"/>
      <c r="D170" s="360"/>
      <c r="E170" s="360"/>
      <c r="F170" s="360"/>
    </row>
  </sheetData>
  <autoFilter ref="A1:F156"/>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workbookViewId="0">
      <selection activeCell="A2" sqref="A2:G2"/>
    </sheetView>
  </sheetViews>
  <sheetFormatPr baseColWidth="10" defaultRowHeight="12.75" x14ac:dyDescent="0.2"/>
  <cols>
    <col min="5" max="5" width="55.7109375" customWidth="1"/>
    <col min="6" max="6" width="34.140625" customWidth="1"/>
    <col min="7" max="7" width="26.140625" customWidth="1"/>
  </cols>
  <sheetData>
    <row r="1" spans="1:7" ht="60" x14ac:dyDescent="0.2">
      <c r="A1" s="181" t="s">
        <v>1450</v>
      </c>
      <c r="B1" s="181" t="s">
        <v>1451</v>
      </c>
      <c r="C1" s="181" t="s">
        <v>14</v>
      </c>
      <c r="D1" s="181" t="s">
        <v>1452</v>
      </c>
      <c r="E1" s="181" t="s">
        <v>1453</v>
      </c>
      <c r="F1" s="181" t="s">
        <v>1454</v>
      </c>
      <c r="G1" s="181" t="s">
        <v>1455</v>
      </c>
    </row>
    <row r="2" spans="1:7" ht="76.5" x14ac:dyDescent="0.2">
      <c r="A2" s="147" t="str">
        <f>'Extensions demandées juin 2019'!A3</f>
        <v>HOPITAL CHARLES NICOLLE CHU ROUEN</v>
      </c>
      <c r="B2" s="148" t="str">
        <f>'Extensions demandées juin 2019'!B3</f>
        <v>Anatomie et cytologie pathologiques</v>
      </c>
      <c r="C2" s="151" t="str">
        <f>'Extensions demandées juin 2019'!E3</f>
        <v xml:space="preserve">Séquençage à Haut débit
et traitement bioinformatique
</v>
      </c>
      <c r="D2" s="148" t="str">
        <f>'Extensions demandées juin 2019'!F3</f>
        <v>Acides nucléiques :
ADNg
ARN</v>
      </c>
      <c r="E2" t="str">
        <f>'Extensions demandées juin 2019'!Q3</f>
        <v>AC GS02 _ B _ Détection de variants d'intérêt théranostique ou diagnostique pour les tumeurs solides par approche amplicons, séquençage parallèle massif (MiSeq Illumina) et analyse bioinformatique interne à partir d'un logiciel fournisseur _ qualitatif _ manuelle _ 2 _ séquenceur massif parallèle : MiSeq Illumina</v>
      </c>
      <c r="F2" s="148" t="str">
        <f>'Extensions demandées juin 2019'!L3</f>
        <v>41131 v1
41132 v1</v>
      </c>
      <c r="G2" s="152" t="str">
        <f>'Extensions demandées juin 2019'!M3</f>
        <v>Changement de méthode</v>
      </c>
    </row>
    <row r="3" spans="1:7" ht="102" x14ac:dyDescent="0.2">
      <c r="A3" s="147" t="str">
        <f>'Extensions demandées juin 2019'!A4</f>
        <v>HOPITAL CHARLES NICOLLE CHU ROUEN</v>
      </c>
      <c r="B3" s="148" t="str">
        <f>'Extensions demandées juin 2019'!B4</f>
        <v>Biologie de la Reproduction</v>
      </c>
      <c r="C3" s="151" t="str">
        <f>'Extensions demandées juin 2019'!E4</f>
        <v>Recherche et identification des spermatozoïdes, volume, mobilité, concentration</v>
      </c>
      <c r="D3" s="148" t="str">
        <f>'Extensions demandées juin 2019'!F4</f>
        <v>Sperme
Tissu testiculaire</v>
      </c>
      <c r="E3" t="str">
        <f>'Extensions demandées juin 2019'!Q4</f>
        <v xml:space="preserve">BM AP1 _ A _ * Sperme éjaculé frais : Les spermatozoïdes sont obtenus par centrifugation et  migration sur gradient de macromolécules et lavage. La mobilité des spermatozoïdes est estimée par observation au microscope. La numération des spermatozoïdes est réalisée
à partir d'un hémocytomètre (cellule de Thoma)
* Spermatozoïdes congelés – décongelés : Les spermatozoïdes sont obtenus par centrifugation et  migration sur gradient de macromolécules et lavage. La mobilité des spermatozoïdes est estimée par observation au microscope. La numération des spermatozoïdes est réalisée
à partir d'un hémocytomètre (cellule de Thoma)
* Spermatozoïdes testiculaires : Les spermatozoïdes sont obtenus par dilacération mécanique du tissu testiculaire
 _ Qualitatif et Quantitatif _ manuelle _  _ </v>
      </c>
      <c r="F3" s="148" t="str">
        <f>'Extensions demandées juin 2019'!L4</f>
        <v>30339 v1</v>
      </c>
      <c r="G3" s="152" t="str">
        <f>'Extensions demandées juin 2019'!M4</f>
        <v>nb actes hors 415 tentatives AMP comptabilisées ci-dessous</v>
      </c>
    </row>
    <row r="4" spans="1:7" ht="140.25" x14ac:dyDescent="0.2">
      <c r="A4" s="147" t="str">
        <f>'Extensions demandées juin 2019'!A5</f>
        <v>HOPITAL CHARLES NICOLLE CHU ROUEN</v>
      </c>
      <c r="B4" s="148" t="str">
        <f>'Extensions demandées juin 2019'!B5</f>
        <v>Biologie de la Reproduction</v>
      </c>
      <c r="C4" s="151" t="str">
        <f>'Extensions demandées juin 2019'!E5</f>
        <v>Identification de l'ovocyte, du zygote et de l’embryon (pronuclei, globules polaires, blastomères et fragments anucléés…)</v>
      </c>
      <c r="D4" s="148" t="str">
        <f>'Extensions demandées juin 2019'!F5</f>
        <v>Ovocyte, zygote, embryon</v>
      </c>
      <c r="E4" t="str">
        <f>'Extensions demandées juin 2019'!Q5</f>
        <v xml:space="preserve">BM AP3 _ A _ * Recueil des gamètes et mise fécondation
* Culture embryonnaire
* Congélation et décongélation des ovocytes et des embryons _ Qualitatif _ manuelle _  _ </v>
      </c>
      <c r="F4" s="148" t="str">
        <f>'Extensions demandées juin 2019'!L5</f>
        <v>16827 v2</v>
      </c>
      <c r="G4" s="152">
        <f>'Extensions demandées juin 2019'!M5</f>
        <v>0</v>
      </c>
    </row>
    <row r="5" spans="1:7" x14ac:dyDescent="0.2">
      <c r="A5" s="147">
        <f>'Extensions demandées juin 2019'!A6</f>
        <v>0</v>
      </c>
      <c r="B5" s="148">
        <f>'Extensions demandées juin 2019'!B6</f>
        <v>0</v>
      </c>
      <c r="C5" s="151">
        <f>'Extensions demandées juin 2019'!E6</f>
        <v>0</v>
      </c>
      <c r="D5" s="148">
        <f>'Extensions demandées juin 2019'!F6</f>
        <v>0</v>
      </c>
      <c r="E5">
        <f>'Extensions demandées juin 2019'!Q6</f>
        <v>0</v>
      </c>
      <c r="F5" s="148">
        <f>'Extensions demandées juin 2019'!L6</f>
        <v>0</v>
      </c>
      <c r="G5" s="152">
        <f>'Extensions demandées juin 2019'!M6</f>
        <v>0</v>
      </c>
    </row>
    <row r="6" spans="1:7" x14ac:dyDescent="0.2">
      <c r="A6" s="147">
        <f>'Extensions demandées juin 2019'!A7</f>
        <v>0</v>
      </c>
      <c r="B6" s="148">
        <f>'Extensions demandées juin 2019'!B7</f>
        <v>0</v>
      </c>
      <c r="C6" s="151">
        <f>'Extensions demandées juin 2019'!E7</f>
        <v>0</v>
      </c>
      <c r="D6" s="148">
        <f>'Extensions demandées juin 2019'!F7</f>
        <v>0</v>
      </c>
      <c r="E6">
        <f>'Extensions demandées juin 2019'!Q7</f>
        <v>0</v>
      </c>
      <c r="F6" s="148">
        <f>'Extensions demandées juin 2019'!L7</f>
        <v>0</v>
      </c>
      <c r="G6" s="152">
        <f>'Extensions demandées juin 2019'!M7</f>
        <v>0</v>
      </c>
    </row>
    <row r="7" spans="1:7" x14ac:dyDescent="0.2">
      <c r="A7" s="147">
        <f>'Extensions demandées juin 2019'!A8</f>
        <v>0</v>
      </c>
      <c r="B7" s="148">
        <f>'Extensions demandées juin 2019'!B8</f>
        <v>0</v>
      </c>
      <c r="C7" s="151">
        <f>'Extensions demandées juin 2019'!E8</f>
        <v>0</v>
      </c>
      <c r="D7" s="148">
        <f>'Extensions demandées juin 2019'!F8</f>
        <v>0</v>
      </c>
      <c r="E7">
        <f>'Extensions demandées juin 2019'!Q8</f>
        <v>0</v>
      </c>
      <c r="F7" s="148">
        <f>'Extensions demandées juin 2019'!L8</f>
        <v>0</v>
      </c>
      <c r="G7" s="152">
        <f>'Extensions demandées juin 2019'!M8</f>
        <v>0</v>
      </c>
    </row>
    <row r="8" spans="1:7" x14ac:dyDescent="0.2">
      <c r="A8" s="147">
        <f>'Extensions demandées juin 2019'!A9</f>
        <v>0</v>
      </c>
      <c r="B8" s="148">
        <f>'Extensions demandées juin 2019'!B9</f>
        <v>0</v>
      </c>
      <c r="C8" s="151">
        <f>'Extensions demandées juin 2019'!E9</f>
        <v>0</v>
      </c>
      <c r="D8" s="148">
        <f>'Extensions demandées juin 2019'!F9</f>
        <v>0</v>
      </c>
      <c r="E8">
        <f>'Extensions demandées juin 2019'!Q9</f>
        <v>0</v>
      </c>
      <c r="F8" s="148">
        <f>'Extensions demandées juin 2019'!L9</f>
        <v>0</v>
      </c>
      <c r="G8" s="152">
        <f>'Extensions demandées juin 2019'!M9</f>
        <v>0</v>
      </c>
    </row>
    <row r="9" spans="1:7" x14ac:dyDescent="0.2">
      <c r="A9" s="147">
        <f>'Extensions demandées juin 2019'!A10</f>
        <v>0</v>
      </c>
      <c r="B9" s="148">
        <f>'Extensions demandées juin 2019'!B10</f>
        <v>0</v>
      </c>
      <c r="C9" s="151">
        <f>'Extensions demandées juin 2019'!E10</f>
        <v>0</v>
      </c>
      <c r="D9" s="148">
        <f>'Extensions demandées juin 2019'!F10</f>
        <v>0</v>
      </c>
      <c r="E9">
        <f>'Extensions demandées juin 2019'!Q10</f>
        <v>0</v>
      </c>
      <c r="F9" s="148">
        <f>'Extensions demandées juin 2019'!L10</f>
        <v>0</v>
      </c>
      <c r="G9" s="152">
        <f>'Extensions demandées juin 2019'!M10</f>
        <v>0</v>
      </c>
    </row>
    <row r="10" spans="1:7" x14ac:dyDescent="0.2">
      <c r="A10" s="147">
        <f>'Extensions demandées juin 2019'!A11</f>
        <v>0</v>
      </c>
      <c r="B10" s="148">
        <f>'Extensions demandées juin 2019'!B11</f>
        <v>0</v>
      </c>
      <c r="C10" s="151">
        <f>'Extensions demandées juin 2019'!E11</f>
        <v>0</v>
      </c>
      <c r="D10" s="148">
        <f>'Extensions demandées juin 2019'!F11</f>
        <v>0</v>
      </c>
      <c r="E10">
        <f>'Extensions demandées juin 2019'!Q11</f>
        <v>0</v>
      </c>
      <c r="F10" s="148">
        <f>'Extensions demandées juin 2019'!L11</f>
        <v>0</v>
      </c>
      <c r="G10" s="152">
        <f>'Extensions demandées juin 2019'!M11</f>
        <v>0</v>
      </c>
    </row>
    <row r="11" spans="1:7" x14ac:dyDescent="0.2">
      <c r="A11" s="147">
        <f>'Extensions demandées juin 2019'!A12</f>
        <v>0</v>
      </c>
      <c r="B11" s="148">
        <f>'Extensions demandées juin 2019'!B12</f>
        <v>0</v>
      </c>
      <c r="C11" s="151">
        <f>'Extensions demandées juin 2019'!E12</f>
        <v>0</v>
      </c>
      <c r="D11" s="148">
        <f>'Extensions demandées juin 2019'!F12</f>
        <v>0</v>
      </c>
      <c r="E11">
        <f>'Extensions demandées juin 2019'!Q12</f>
        <v>0</v>
      </c>
      <c r="F11" s="148">
        <f>'Extensions demandées juin 2019'!L12</f>
        <v>0</v>
      </c>
      <c r="G11" s="152">
        <f>'Extensions demandées juin 2019'!M12</f>
        <v>0</v>
      </c>
    </row>
    <row r="12" spans="1:7" x14ac:dyDescent="0.2">
      <c r="A12" s="147">
        <f>'Extensions demandées juin 2019'!A13</f>
        <v>0</v>
      </c>
      <c r="B12" s="148">
        <f>'Extensions demandées juin 2019'!B13</f>
        <v>0</v>
      </c>
      <c r="C12" s="151">
        <f>'Extensions demandées juin 2019'!E13</f>
        <v>0</v>
      </c>
      <c r="D12" s="148">
        <f>'Extensions demandées juin 2019'!F13</f>
        <v>0</v>
      </c>
      <c r="E12">
        <f>'Extensions demandées juin 2019'!Q13</f>
        <v>0</v>
      </c>
      <c r="F12" s="148">
        <f>'Extensions demandées juin 2019'!L13</f>
        <v>0</v>
      </c>
      <c r="G12" s="152">
        <f>'Extensions demandées juin 2019'!M13</f>
        <v>0</v>
      </c>
    </row>
    <row r="13" spans="1:7" x14ac:dyDescent="0.2">
      <c r="A13" s="147">
        <f>'Extensions demandées juin 2019'!A14</f>
        <v>0</v>
      </c>
      <c r="B13" s="148">
        <f>'Extensions demandées juin 2019'!B14</f>
        <v>0</v>
      </c>
      <c r="C13" s="151">
        <f>'Extensions demandées juin 2019'!E14</f>
        <v>0</v>
      </c>
      <c r="D13" s="148">
        <f>'Extensions demandées juin 2019'!F14</f>
        <v>0</v>
      </c>
      <c r="E13">
        <f>'Extensions demandées juin 2019'!Q14</f>
        <v>0</v>
      </c>
      <c r="F13" s="148">
        <f>'Extensions demandées juin 2019'!L14</f>
        <v>0</v>
      </c>
      <c r="G13" s="152">
        <f>'Extensions demandées juin 2019'!M14</f>
        <v>0</v>
      </c>
    </row>
    <row r="14" spans="1:7" x14ac:dyDescent="0.2">
      <c r="A14" s="147">
        <f>'Extensions demandées juin 2019'!A15</f>
        <v>0</v>
      </c>
      <c r="B14" s="148">
        <f>'Extensions demandées juin 2019'!B15</f>
        <v>0</v>
      </c>
      <c r="C14" s="151">
        <f>'Extensions demandées juin 2019'!E15</f>
        <v>0</v>
      </c>
      <c r="D14" s="148">
        <f>'Extensions demandées juin 2019'!F15</f>
        <v>0</v>
      </c>
      <c r="E14">
        <f>'Extensions demandées juin 2019'!Q15</f>
        <v>0</v>
      </c>
      <c r="F14" s="148">
        <f>'Extensions demandées juin 2019'!L15</f>
        <v>0</v>
      </c>
      <c r="G14" s="152">
        <f>'Extensions demandées juin 2019'!M15</f>
        <v>0</v>
      </c>
    </row>
    <row r="15" spans="1:7" x14ac:dyDescent="0.2">
      <c r="A15" s="147">
        <f>'Extensions demandées juin 2019'!A16</f>
        <v>0</v>
      </c>
      <c r="B15" s="148">
        <f>'Extensions demandées juin 2019'!B16</f>
        <v>0</v>
      </c>
      <c r="C15" s="151">
        <f>'Extensions demandées juin 2019'!E16</f>
        <v>0</v>
      </c>
      <c r="D15" s="148">
        <f>'Extensions demandées juin 2019'!F16</f>
        <v>0</v>
      </c>
      <c r="E15">
        <f>'Extensions demandées juin 2019'!Q16</f>
        <v>0</v>
      </c>
      <c r="F15" s="148">
        <f>'Extensions demandées juin 2019'!L16</f>
        <v>0</v>
      </c>
      <c r="G15" s="152">
        <f>'Extensions demandées juin 2019'!M16</f>
        <v>0</v>
      </c>
    </row>
    <row r="16" spans="1:7" x14ac:dyDescent="0.2">
      <c r="A16" s="147">
        <f>'Extensions demandées juin 2019'!A17</f>
        <v>0</v>
      </c>
      <c r="B16" s="148">
        <f>'Extensions demandées juin 2019'!B17</f>
        <v>0</v>
      </c>
      <c r="C16" s="151">
        <f>'Extensions demandées juin 2019'!E17</f>
        <v>0</v>
      </c>
      <c r="D16" s="148">
        <f>'Extensions demandées juin 2019'!F17</f>
        <v>0</v>
      </c>
      <c r="E16">
        <f>'Extensions demandées juin 2019'!Q17</f>
        <v>0</v>
      </c>
      <c r="F16" s="148">
        <f>'Extensions demandées juin 2019'!L17</f>
        <v>0</v>
      </c>
      <c r="G16" s="152">
        <f>'Extensions demandées juin 2019'!M17</f>
        <v>0</v>
      </c>
    </row>
    <row r="17" spans="1:7" x14ac:dyDescent="0.2">
      <c r="A17" s="147">
        <f>'Extensions demandées juin 2019'!A18</f>
        <v>0</v>
      </c>
      <c r="B17" s="148">
        <f>'Extensions demandées juin 2019'!B18</f>
        <v>0</v>
      </c>
      <c r="C17" s="151">
        <f>'Extensions demandées juin 2019'!E18</f>
        <v>0</v>
      </c>
      <c r="D17" s="148">
        <f>'Extensions demandées juin 2019'!F18</f>
        <v>0</v>
      </c>
      <c r="E17">
        <f>'Extensions demandées juin 2019'!Q18</f>
        <v>0</v>
      </c>
      <c r="F17" s="148">
        <f>'Extensions demandées juin 2019'!L18</f>
        <v>0</v>
      </c>
      <c r="G17" s="152">
        <f>'Extensions demandées juin 2019'!M18</f>
        <v>0</v>
      </c>
    </row>
    <row r="18" spans="1:7" x14ac:dyDescent="0.2">
      <c r="A18" s="147">
        <f>'Extensions demandées juin 2019'!A19</f>
        <v>0</v>
      </c>
      <c r="B18" s="148">
        <f>'Extensions demandées juin 2019'!B19</f>
        <v>0</v>
      </c>
      <c r="C18" s="151">
        <f>'Extensions demandées juin 2019'!E19</f>
        <v>0</v>
      </c>
      <c r="D18" s="148">
        <f>'Extensions demandées juin 2019'!F19</f>
        <v>0</v>
      </c>
      <c r="E18">
        <f>'Extensions demandées juin 2019'!Q19</f>
        <v>0</v>
      </c>
      <c r="F18" s="148">
        <f>'Extensions demandées juin 2019'!L19</f>
        <v>0</v>
      </c>
      <c r="G18" s="152">
        <f>'Extensions demandées juin 2019'!M19</f>
        <v>0</v>
      </c>
    </row>
    <row r="19" spans="1:7" x14ac:dyDescent="0.2">
      <c r="A19" s="147">
        <f>'Extensions demandées juin 2019'!A20</f>
        <v>0</v>
      </c>
      <c r="B19" s="148">
        <f>'Extensions demandées juin 2019'!B20</f>
        <v>0</v>
      </c>
      <c r="C19" s="151">
        <f>'Extensions demandées juin 2019'!E20</f>
        <v>0</v>
      </c>
      <c r="D19" s="148">
        <f>'Extensions demandées juin 2019'!F20</f>
        <v>0</v>
      </c>
      <c r="E19">
        <f>'Extensions demandées juin 2019'!Q20</f>
        <v>0</v>
      </c>
      <c r="F19" s="148">
        <f>'Extensions demandées juin 2019'!L20</f>
        <v>0</v>
      </c>
      <c r="G19" s="152">
        <f>'Extensions demandées juin 2019'!M20</f>
        <v>0</v>
      </c>
    </row>
    <row r="20" spans="1:7" x14ac:dyDescent="0.2">
      <c r="A20" s="147">
        <f>'Extensions demandées juin 2019'!A21</f>
        <v>0</v>
      </c>
      <c r="B20" s="148">
        <f>'Extensions demandées juin 2019'!B21</f>
        <v>0</v>
      </c>
      <c r="C20" s="151">
        <f>'Extensions demandées juin 2019'!E21</f>
        <v>0</v>
      </c>
      <c r="D20" s="148">
        <f>'Extensions demandées juin 2019'!F21</f>
        <v>0</v>
      </c>
      <c r="E20">
        <f>'Extensions demandées juin 2019'!Q21</f>
        <v>0</v>
      </c>
      <c r="F20" s="148">
        <f>'Extensions demandées juin 2019'!L21</f>
        <v>0</v>
      </c>
      <c r="G20" s="152">
        <f>'Extensions demandées juin 2019'!M21</f>
        <v>0</v>
      </c>
    </row>
    <row r="21" spans="1:7" x14ac:dyDescent="0.2">
      <c r="A21" s="147">
        <f>'Extensions demandées juin 2019'!A22</f>
        <v>0</v>
      </c>
      <c r="B21" s="148">
        <f>'Extensions demandées juin 2019'!B22</f>
        <v>0</v>
      </c>
      <c r="C21" s="151">
        <f>'Extensions demandées juin 2019'!E22</f>
        <v>0</v>
      </c>
      <c r="D21" s="148">
        <f>'Extensions demandées juin 2019'!F22</f>
        <v>0</v>
      </c>
      <c r="E21">
        <f>'Extensions demandées juin 2019'!Q22</f>
        <v>0</v>
      </c>
      <c r="F21" s="148">
        <f>'Extensions demandées juin 2019'!L22</f>
        <v>0</v>
      </c>
      <c r="G21" s="152">
        <f>'Extensions demandées juin 2019'!M22</f>
        <v>0</v>
      </c>
    </row>
    <row r="22" spans="1:7" x14ac:dyDescent="0.2">
      <c r="A22" s="147">
        <f>'Extensions demandées juin 2019'!A23</f>
        <v>0</v>
      </c>
      <c r="B22" s="148">
        <f>'Extensions demandées juin 2019'!B23</f>
        <v>0</v>
      </c>
      <c r="C22" s="151">
        <f>'Extensions demandées juin 2019'!E23</f>
        <v>0</v>
      </c>
      <c r="D22" s="148">
        <f>'Extensions demandées juin 2019'!F23</f>
        <v>0</v>
      </c>
      <c r="E22">
        <f>'Extensions demandées juin 2019'!Q23</f>
        <v>0</v>
      </c>
      <c r="F22" s="148">
        <f>'Extensions demandées juin 2019'!L23</f>
        <v>0</v>
      </c>
      <c r="G22" s="152">
        <f>'Extensions demandées juin 2019'!M23</f>
        <v>0</v>
      </c>
    </row>
    <row r="23" spans="1:7" x14ac:dyDescent="0.2">
      <c r="A23" s="147">
        <f>'Extensions demandées juin 2019'!A24</f>
        <v>0</v>
      </c>
      <c r="B23" s="148">
        <f>'Extensions demandées juin 2019'!B24</f>
        <v>0</v>
      </c>
      <c r="C23" s="151">
        <f>'Extensions demandées juin 2019'!E24</f>
        <v>0</v>
      </c>
      <c r="D23" s="148">
        <f>'Extensions demandées juin 2019'!F24</f>
        <v>0</v>
      </c>
      <c r="E23">
        <f>'Extensions demandées juin 2019'!Q24</f>
        <v>0</v>
      </c>
      <c r="F23" s="148">
        <f>'Extensions demandées juin 2019'!L24</f>
        <v>0</v>
      </c>
      <c r="G23" s="152">
        <f>'Extensions demandées juin 2019'!M24</f>
        <v>0</v>
      </c>
    </row>
    <row r="24" spans="1:7" x14ac:dyDescent="0.2">
      <c r="A24" s="147">
        <f>'Extensions demandées juin 2019'!A25</f>
        <v>0</v>
      </c>
      <c r="B24" s="148">
        <f>'Extensions demandées juin 2019'!B25</f>
        <v>0</v>
      </c>
      <c r="C24" s="151">
        <f>'Extensions demandées juin 2019'!E25</f>
        <v>0</v>
      </c>
      <c r="D24" s="148">
        <f>'Extensions demandées juin 2019'!F25</f>
        <v>0</v>
      </c>
      <c r="E24">
        <f>'Extensions demandées juin 2019'!Q25</f>
        <v>0</v>
      </c>
      <c r="F24" s="148">
        <f>'Extensions demandées juin 2019'!L25</f>
        <v>0</v>
      </c>
      <c r="G24" s="152">
        <f>'Extensions demandées juin 2019'!M25</f>
        <v>0</v>
      </c>
    </row>
    <row r="25" spans="1:7" x14ac:dyDescent="0.2">
      <c r="A25" s="147">
        <f>'Extensions demandées juin 2019'!A26</f>
        <v>0</v>
      </c>
      <c r="B25" s="148">
        <f>'Extensions demandées juin 2019'!B26</f>
        <v>0</v>
      </c>
      <c r="C25" s="151">
        <f>'Extensions demandées juin 2019'!E26</f>
        <v>0</v>
      </c>
      <c r="D25" s="148">
        <f>'Extensions demandées juin 2019'!F26</f>
        <v>0</v>
      </c>
      <c r="E25">
        <f>'Extensions demandées juin 2019'!Q26</f>
        <v>0</v>
      </c>
      <c r="F25" s="148">
        <f>'Extensions demandées juin 2019'!L26</f>
        <v>0</v>
      </c>
      <c r="G25" s="152">
        <f>'Extensions demandées juin 2019'!M26</f>
        <v>0</v>
      </c>
    </row>
    <row r="26" spans="1:7" x14ac:dyDescent="0.2">
      <c r="A26" s="147">
        <f>'Extensions demandées juin 2019'!A27</f>
        <v>0</v>
      </c>
      <c r="B26" s="148">
        <f>'Extensions demandées juin 2019'!B27</f>
        <v>0</v>
      </c>
      <c r="C26" s="151">
        <f>'Extensions demandées juin 2019'!E27</f>
        <v>0</v>
      </c>
      <c r="D26" s="148">
        <f>'Extensions demandées juin 2019'!F27</f>
        <v>0</v>
      </c>
      <c r="E26">
        <f>'Extensions demandées juin 2019'!Q27</f>
        <v>0</v>
      </c>
      <c r="F26" s="148">
        <f>'Extensions demandées juin 2019'!L27</f>
        <v>0</v>
      </c>
      <c r="G26" s="152">
        <f>'Extensions demandées juin 2019'!M27</f>
        <v>0</v>
      </c>
    </row>
    <row r="27" spans="1:7" x14ac:dyDescent="0.2">
      <c r="A27" s="147">
        <f>'Extensions demandées juin 2019'!A28</f>
        <v>0</v>
      </c>
      <c r="B27" s="148">
        <f>'Extensions demandées juin 2019'!B28</f>
        <v>0</v>
      </c>
      <c r="C27" s="151">
        <f>'Extensions demandées juin 2019'!E28</f>
        <v>0</v>
      </c>
      <c r="D27" s="148">
        <f>'Extensions demandées juin 2019'!F28</f>
        <v>0</v>
      </c>
      <c r="E27">
        <f>'Extensions demandées juin 2019'!Q28</f>
        <v>0</v>
      </c>
      <c r="F27" s="148">
        <f>'Extensions demandées juin 2019'!L28</f>
        <v>0</v>
      </c>
      <c r="G27" s="152">
        <f>'Extensions demandées juin 2019'!M28</f>
        <v>0</v>
      </c>
    </row>
    <row r="28" spans="1:7" x14ac:dyDescent="0.2">
      <c r="A28" s="147">
        <f>'Extensions demandées juin 2019'!A29</f>
        <v>0</v>
      </c>
      <c r="B28" s="148">
        <f>'Extensions demandées juin 2019'!B29</f>
        <v>0</v>
      </c>
      <c r="C28" s="151">
        <f>'Extensions demandées juin 2019'!E29</f>
        <v>0</v>
      </c>
      <c r="D28" s="148">
        <f>'Extensions demandées juin 2019'!F29</f>
        <v>0</v>
      </c>
      <c r="E28">
        <f>'Extensions demandées juin 2019'!Q29</f>
        <v>0</v>
      </c>
      <c r="F28" s="148">
        <f>'Extensions demandées juin 2019'!L29</f>
        <v>0</v>
      </c>
      <c r="G28" s="152">
        <f>'Extensions demandées juin 2019'!M29</f>
        <v>0</v>
      </c>
    </row>
    <row r="29" spans="1:7" x14ac:dyDescent="0.2">
      <c r="A29" s="147">
        <f>'Extensions demandées juin 2019'!A30</f>
        <v>0</v>
      </c>
      <c r="B29" s="148">
        <f>'Extensions demandées juin 2019'!B30</f>
        <v>0</v>
      </c>
      <c r="C29" s="151">
        <f>'Extensions demandées juin 2019'!E30</f>
        <v>0</v>
      </c>
      <c r="D29" s="148">
        <f>'Extensions demandées juin 2019'!F30</f>
        <v>0</v>
      </c>
      <c r="E29">
        <f>'Extensions demandées juin 2019'!Q30</f>
        <v>0</v>
      </c>
      <c r="F29" s="148">
        <f>'Extensions demandées juin 2019'!L30</f>
        <v>0</v>
      </c>
      <c r="G29" s="152">
        <f>'Extensions demandées juin 2019'!M30</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workbookViewId="0">
      <selection activeCell="E3" sqref="E3"/>
    </sheetView>
  </sheetViews>
  <sheetFormatPr baseColWidth="10" defaultRowHeight="12.75" x14ac:dyDescent="0.2"/>
  <cols>
    <col min="2" max="2" width="13.5703125" customWidth="1"/>
    <col min="4" max="4" width="17" customWidth="1"/>
    <col min="5" max="5" width="68.140625" customWidth="1"/>
    <col min="6" max="6" width="34.140625" customWidth="1"/>
    <col min="7" max="7" width="26.140625" customWidth="1"/>
  </cols>
  <sheetData>
    <row r="1" spans="1:7" ht="48" x14ac:dyDescent="0.2">
      <c r="A1" s="181" t="s">
        <v>1450</v>
      </c>
      <c r="B1" s="181" t="s">
        <v>1451</v>
      </c>
      <c r="C1" s="181" t="s">
        <v>14</v>
      </c>
      <c r="D1" s="181" t="s">
        <v>1452</v>
      </c>
      <c r="E1" s="181" t="s">
        <v>1453</v>
      </c>
      <c r="F1" s="181" t="s">
        <v>1454</v>
      </c>
      <c r="G1" s="181" t="s">
        <v>1455</v>
      </c>
    </row>
    <row r="2" spans="1:7" ht="89.25" x14ac:dyDescent="0.2">
      <c r="A2" s="147" t="s">
        <v>747</v>
      </c>
      <c r="B2" s="148" t="s">
        <v>177</v>
      </c>
      <c r="C2" s="148" t="s">
        <v>1413</v>
      </c>
      <c r="D2" s="148" t="s">
        <v>1414</v>
      </c>
      <c r="E2" s="183" t="s">
        <v>1456</v>
      </c>
      <c r="F2" s="148" t="s">
        <v>1417</v>
      </c>
      <c r="G2" s="152"/>
    </row>
    <row r="3" spans="1:7" ht="51" x14ac:dyDescent="0.2">
      <c r="A3" s="147" t="s">
        <v>747</v>
      </c>
      <c r="B3" s="148" t="s">
        <v>939</v>
      </c>
      <c r="C3" s="151" t="s">
        <v>1439</v>
      </c>
      <c r="D3" s="148" t="s">
        <v>246</v>
      </c>
      <c r="E3" s="183" t="s">
        <v>1457</v>
      </c>
      <c r="F3" s="148" t="s">
        <v>1442</v>
      </c>
      <c r="G3" s="152"/>
    </row>
    <row r="4" spans="1:7" ht="38.25" x14ac:dyDescent="0.2">
      <c r="A4" s="147" t="s">
        <v>747</v>
      </c>
      <c r="B4" s="148" t="s">
        <v>939</v>
      </c>
      <c r="C4" s="151" t="s">
        <v>1443</v>
      </c>
      <c r="D4" s="148" t="s">
        <v>1444</v>
      </c>
      <c r="E4" s="183" t="s">
        <v>1458</v>
      </c>
      <c r="F4" s="148" t="s">
        <v>1447</v>
      </c>
      <c r="G4" s="148"/>
    </row>
    <row r="5" spans="1:7" ht="63.75" x14ac:dyDescent="0.2">
      <c r="A5" s="174" t="s">
        <v>1327</v>
      </c>
      <c r="B5" s="174" t="s">
        <v>21</v>
      </c>
      <c r="C5" s="176" t="s">
        <v>1419</v>
      </c>
      <c r="D5" s="174" t="s">
        <v>25</v>
      </c>
      <c r="E5" s="183" t="s">
        <v>1459</v>
      </c>
      <c r="F5" s="174" t="s">
        <v>1421</v>
      </c>
      <c r="G5" s="177"/>
    </row>
    <row r="6" spans="1:7" ht="38.25" x14ac:dyDescent="0.2">
      <c r="A6" s="147" t="s">
        <v>747</v>
      </c>
      <c r="B6" s="148" t="s">
        <v>839</v>
      </c>
      <c r="C6" s="151" t="s">
        <v>1422</v>
      </c>
      <c r="D6" s="148" t="s">
        <v>788</v>
      </c>
      <c r="E6" s="183" t="s">
        <v>1460</v>
      </c>
      <c r="F6" s="148" t="s">
        <v>1426</v>
      </c>
      <c r="G6" s="172"/>
    </row>
    <row r="7" spans="1:7" x14ac:dyDescent="0.2">
      <c r="A7" s="147"/>
      <c r="B7" s="162"/>
      <c r="C7" s="147"/>
      <c r="D7" s="156"/>
      <c r="F7" s="156"/>
      <c r="G7" s="152"/>
    </row>
    <row r="8" spans="1:7" x14ac:dyDescent="0.2">
      <c r="A8" s="147"/>
      <c r="B8" s="162"/>
      <c r="C8" s="147"/>
      <c r="D8" s="156"/>
      <c r="F8" s="156"/>
      <c r="G8" s="152"/>
    </row>
    <row r="9" spans="1:7" x14ac:dyDescent="0.2">
      <c r="A9" s="147"/>
      <c r="B9" s="162"/>
      <c r="C9" s="147"/>
      <c r="D9" s="156"/>
      <c r="F9" s="156"/>
      <c r="G9" s="152"/>
    </row>
    <row r="10" spans="1:7" x14ac:dyDescent="0.2">
      <c r="A10" s="147"/>
      <c r="B10" s="162"/>
      <c r="C10" s="147"/>
      <c r="D10" s="156"/>
      <c r="F10" s="156"/>
      <c r="G10" s="152"/>
    </row>
    <row r="11" spans="1:7" x14ac:dyDescent="0.2">
      <c r="A11" s="147"/>
      <c r="B11" s="162"/>
      <c r="C11" s="147"/>
      <c r="D11" s="156"/>
      <c r="F11" s="156"/>
      <c r="G11" s="152"/>
    </row>
    <row r="12" spans="1:7" x14ac:dyDescent="0.2">
      <c r="A12" s="147"/>
      <c r="B12" s="162"/>
      <c r="C12" s="147"/>
      <c r="D12" s="156"/>
      <c r="F12" s="156"/>
      <c r="G12" s="152"/>
    </row>
    <row r="13" spans="1:7" x14ac:dyDescent="0.2">
      <c r="A13" s="147"/>
      <c r="B13" s="162"/>
      <c r="C13" s="147"/>
      <c r="D13" s="156"/>
      <c r="F13" s="156"/>
      <c r="G13" s="152"/>
    </row>
    <row r="14" spans="1:7" x14ac:dyDescent="0.2">
      <c r="A14" s="147"/>
      <c r="B14" s="162"/>
      <c r="C14" s="147"/>
      <c r="D14" s="156"/>
      <c r="F14" s="156"/>
      <c r="G14" s="152"/>
    </row>
    <row r="15" spans="1:7" x14ac:dyDescent="0.2">
      <c r="A15" s="147"/>
      <c r="B15" s="162"/>
      <c r="C15" s="147"/>
      <c r="D15" s="156"/>
      <c r="F15" s="156"/>
      <c r="G15" s="152"/>
    </row>
    <row r="16" spans="1:7" x14ac:dyDescent="0.2">
      <c r="A16" s="147"/>
      <c r="B16" s="162"/>
      <c r="C16" s="147"/>
      <c r="D16" s="156"/>
      <c r="F16" s="156"/>
      <c r="G16" s="152"/>
    </row>
    <row r="17" spans="1:7" x14ac:dyDescent="0.2">
      <c r="A17" s="147"/>
      <c r="B17" s="162"/>
      <c r="C17" s="147"/>
      <c r="D17" s="156"/>
      <c r="F17" s="156"/>
      <c r="G17" s="152"/>
    </row>
    <row r="18" spans="1:7" x14ac:dyDescent="0.2">
      <c r="A18" s="147"/>
      <c r="B18" s="156"/>
      <c r="C18" s="147"/>
      <c r="D18" s="156"/>
      <c r="E18" s="183"/>
      <c r="F18" s="156"/>
      <c r="G18" s="152"/>
    </row>
    <row r="19" spans="1:7" x14ac:dyDescent="0.2">
      <c r="A19" s="147"/>
      <c r="B19" s="156"/>
      <c r="C19" s="147"/>
      <c r="D19" s="156"/>
      <c r="F19" s="156"/>
      <c r="G19" s="152"/>
    </row>
    <row r="20" spans="1:7" x14ac:dyDescent="0.2">
      <c r="A20" s="147"/>
      <c r="B20" s="156"/>
      <c r="C20" s="147"/>
      <c r="D20" s="156"/>
      <c r="F20" s="156"/>
      <c r="G20" s="152"/>
    </row>
    <row r="21" spans="1:7" x14ac:dyDescent="0.2">
      <c r="A21" s="147"/>
      <c r="B21" s="156"/>
      <c r="C21" s="147"/>
      <c r="D21" s="156"/>
      <c r="F21" s="156"/>
      <c r="G21" s="152"/>
    </row>
    <row r="22" spans="1:7" x14ac:dyDescent="0.2">
      <c r="A22" s="147"/>
      <c r="B22" s="156"/>
      <c r="C22" s="147"/>
      <c r="D22" s="156"/>
      <c r="F22" s="156"/>
      <c r="G22" s="152"/>
    </row>
    <row r="23" spans="1:7" x14ac:dyDescent="0.2">
      <c r="A23" s="147"/>
      <c r="B23" s="156"/>
      <c r="C23" s="147"/>
      <c r="D23" s="156"/>
      <c r="F23" s="156"/>
      <c r="G23" s="152"/>
    </row>
    <row r="24" spans="1:7" x14ac:dyDescent="0.2">
      <c r="A24" s="163"/>
      <c r="B24" s="164"/>
      <c r="C24" s="147"/>
      <c r="D24" s="163"/>
      <c r="F24" s="163"/>
      <c r="G24" s="163"/>
    </row>
    <row r="25" spans="1:7" x14ac:dyDescent="0.2">
      <c r="A25" s="147"/>
      <c r="B25" s="156"/>
      <c r="C25" s="147"/>
      <c r="D25" s="156"/>
      <c r="F25" s="156"/>
      <c r="G25" s="16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A4" sqref="A4"/>
    </sheetView>
  </sheetViews>
  <sheetFormatPr baseColWidth="10" defaultRowHeight="12.75" x14ac:dyDescent="0.2"/>
  <cols>
    <col min="3" max="3" width="25.5703125" customWidth="1"/>
    <col min="4" max="4" width="21.5703125" customWidth="1"/>
    <col min="5" max="5" width="34.85546875" customWidth="1"/>
    <col min="6" max="6" width="23.42578125" customWidth="1"/>
    <col min="7" max="7" width="31.140625" customWidth="1"/>
  </cols>
  <sheetData>
    <row r="1" spans="1:7" ht="48" x14ac:dyDescent="0.2">
      <c r="A1" s="181" t="s">
        <v>1450</v>
      </c>
      <c r="B1" s="181" t="s">
        <v>1451</v>
      </c>
      <c r="C1" s="181" t="s">
        <v>14</v>
      </c>
      <c r="D1" s="181" t="s">
        <v>1452</v>
      </c>
      <c r="E1" s="181" t="s">
        <v>1453</v>
      </c>
      <c r="F1" s="181" t="s">
        <v>1454</v>
      </c>
      <c r="G1" s="181" t="s">
        <v>1455</v>
      </c>
    </row>
    <row r="2" spans="1:7" ht="38.25" x14ac:dyDescent="0.2">
      <c r="A2" s="147" t="s">
        <v>747</v>
      </c>
      <c r="B2" s="328" t="s">
        <v>939</v>
      </c>
      <c r="C2" s="329" t="s">
        <v>1724</v>
      </c>
      <c r="D2" s="328" t="s">
        <v>1731</v>
      </c>
      <c r="E2" s="342" t="s">
        <v>1749</v>
      </c>
      <c r="F2" s="328" t="s">
        <v>1726</v>
      </c>
      <c r="G2" s="366" t="s">
        <v>1752</v>
      </c>
    </row>
    <row r="3" spans="1:7" ht="38.25" x14ac:dyDescent="0.2">
      <c r="A3" s="147" t="s">
        <v>747</v>
      </c>
      <c r="B3" s="14" t="s">
        <v>120</v>
      </c>
      <c r="C3" s="14" t="s">
        <v>1729</v>
      </c>
      <c r="D3" s="14" t="s">
        <v>1730</v>
      </c>
      <c r="E3" s="342" t="s">
        <v>1750</v>
      </c>
      <c r="F3" s="14" t="s">
        <v>1732</v>
      </c>
      <c r="G3" t="s">
        <v>1752</v>
      </c>
    </row>
    <row r="4" spans="1:7" ht="38.25" x14ac:dyDescent="0.2">
      <c r="A4" s="14" t="s">
        <v>1297</v>
      </c>
      <c r="B4" s="328" t="s">
        <v>939</v>
      </c>
      <c r="C4" s="23" t="s">
        <v>1249</v>
      </c>
      <c r="D4" s="23" t="s">
        <v>1735</v>
      </c>
      <c r="E4" s="342" t="s">
        <v>1751</v>
      </c>
      <c r="F4" s="23" t="s">
        <v>1252</v>
      </c>
      <c r="G4" t="s">
        <v>1752</v>
      </c>
    </row>
  </sheetData>
  <conditionalFormatting sqref="A4">
    <cfRule type="containsText" dxfId="0" priority="1" operator="containsText" text="julien">
      <formula>NOT(ISERROR(SEARCH("julien",A4)))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40"/>
  <sheetViews>
    <sheetView workbookViewId="0">
      <selection activeCell="I36" sqref="I36"/>
    </sheetView>
  </sheetViews>
  <sheetFormatPr baseColWidth="10" defaultRowHeight="12.75" x14ac:dyDescent="0.2"/>
  <cols>
    <col min="3" max="3" width="23.28515625" customWidth="1"/>
    <col min="4" max="4" width="52" customWidth="1"/>
  </cols>
  <sheetData>
    <row r="2" spans="2:3" x14ac:dyDescent="0.2">
      <c r="B2" s="184" t="s">
        <v>1462</v>
      </c>
    </row>
    <row r="3" spans="2:3" x14ac:dyDescent="0.2">
      <c r="B3" s="48" t="s">
        <v>1463</v>
      </c>
    </row>
    <row r="4" spans="2:3" x14ac:dyDescent="0.2">
      <c r="C4" s="48" t="s">
        <v>1464</v>
      </c>
    </row>
    <row r="5" spans="2:3" x14ac:dyDescent="0.2">
      <c r="C5" s="48" t="s">
        <v>1465</v>
      </c>
    </row>
    <row r="6" spans="2:3" x14ac:dyDescent="0.2">
      <c r="C6" s="48" t="s">
        <v>1466</v>
      </c>
    </row>
    <row r="7" spans="2:3" x14ac:dyDescent="0.2">
      <c r="C7" s="48" t="s">
        <v>1467</v>
      </c>
    </row>
    <row r="8" spans="2:3" x14ac:dyDescent="0.2">
      <c r="C8" s="48" t="s">
        <v>1468</v>
      </c>
    </row>
    <row r="9" spans="2:3" x14ac:dyDescent="0.2">
      <c r="C9" s="48" t="s">
        <v>1469</v>
      </c>
    </row>
    <row r="10" spans="2:3" x14ac:dyDescent="0.2">
      <c r="C10" s="48" t="s">
        <v>1470</v>
      </c>
    </row>
    <row r="12" spans="2:3" x14ac:dyDescent="0.2">
      <c r="B12" t="s">
        <v>1471</v>
      </c>
    </row>
    <row r="13" spans="2:3" x14ac:dyDescent="0.2">
      <c r="B13" s="48" t="s">
        <v>1472</v>
      </c>
    </row>
    <row r="16" spans="2:3" x14ac:dyDescent="0.2">
      <c r="B16" t="s">
        <v>1473</v>
      </c>
    </row>
    <row r="17" spans="2:5" x14ac:dyDescent="0.2">
      <c r="C17" t="s">
        <v>1474</v>
      </c>
      <c r="D17" t="s">
        <v>1475</v>
      </c>
    </row>
    <row r="18" spans="2:5" x14ac:dyDescent="0.2">
      <c r="C18" t="s">
        <v>1476</v>
      </c>
    </row>
    <row r="24" spans="2:5" x14ac:dyDescent="0.2">
      <c r="B24" s="185" t="s">
        <v>1477</v>
      </c>
    </row>
    <row r="25" spans="2:5" x14ac:dyDescent="0.2">
      <c r="C25" t="s">
        <v>1478</v>
      </c>
    </row>
    <row r="26" spans="2:5" x14ac:dyDescent="0.2">
      <c r="C26" t="s">
        <v>1479</v>
      </c>
    </row>
    <row r="27" spans="2:5" x14ac:dyDescent="0.2">
      <c r="C27" t="s">
        <v>1480</v>
      </c>
    </row>
    <row r="28" spans="2:5" x14ac:dyDescent="0.2">
      <c r="D28" s="181" t="s">
        <v>1450</v>
      </c>
      <c r="E28" t="s">
        <v>31</v>
      </c>
    </row>
    <row r="29" spans="2:5" x14ac:dyDescent="0.2">
      <c r="D29" s="181" t="s">
        <v>1451</v>
      </c>
      <c r="E29" t="s">
        <v>184</v>
      </c>
    </row>
    <row r="30" spans="2:5" x14ac:dyDescent="0.2">
      <c r="D30" s="181" t="s">
        <v>14</v>
      </c>
      <c r="E30" t="s">
        <v>1481</v>
      </c>
    </row>
    <row r="31" spans="2:5" x14ac:dyDescent="0.2">
      <c r="D31" s="181" t="s">
        <v>1452</v>
      </c>
      <c r="E31" t="s">
        <v>1482</v>
      </c>
    </row>
    <row r="32" spans="2:5" x14ac:dyDescent="0.2">
      <c r="D32" s="181" t="s">
        <v>1453</v>
      </c>
      <c r="E32" t="s">
        <v>1483</v>
      </c>
    </row>
    <row r="33" spans="2:5" x14ac:dyDescent="0.2">
      <c r="D33" s="181" t="s">
        <v>1454</v>
      </c>
      <c r="E33" t="s">
        <v>1484</v>
      </c>
    </row>
    <row r="34" spans="2:5" ht="24" x14ac:dyDescent="0.2">
      <c r="D34" s="181" t="s">
        <v>1455</v>
      </c>
      <c r="E34" t="s">
        <v>1485</v>
      </c>
    </row>
    <row r="35" spans="2:5" x14ac:dyDescent="0.2">
      <c r="C35" t="s">
        <v>1486</v>
      </c>
    </row>
    <row r="36" spans="2:5" x14ac:dyDescent="0.2">
      <c r="C36" t="s">
        <v>1487</v>
      </c>
    </row>
    <row r="40" spans="2:5" x14ac:dyDescent="0.2">
      <c r="B40" s="48" t="s">
        <v>1488</v>
      </c>
      <c r="D40" s="48" t="s">
        <v>1489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honeticPr fontId="3"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24</vt:i4>
      </vt:variant>
      <vt:variant>
        <vt:lpstr>Plages nommées</vt:lpstr>
      </vt:variant>
      <vt:variant>
        <vt:i4>15</vt:i4>
      </vt:variant>
    </vt:vector>
  </HeadingPairs>
  <TitlesOfParts>
    <vt:vector size="39" baseType="lpstr">
      <vt:lpstr>Examens accrédités et ajouts</vt:lpstr>
      <vt:lpstr>Extensions demandées juin 2019</vt:lpstr>
      <vt:lpstr>Extensions demandées oct 2021</vt:lpstr>
      <vt:lpstr>Extensions demandées 2024</vt:lpstr>
      <vt:lpstr>Extensions demandées 2025</vt:lpstr>
      <vt:lpstr>FLEXI+</vt:lpstr>
      <vt:lpstr>EBMD</vt:lpstr>
      <vt:lpstr>EBMD Extension 2025</vt:lpstr>
      <vt:lpstr>FLEXI+ PP01</vt:lpstr>
      <vt:lpstr>FLEXI+ EXT 2019</vt:lpstr>
      <vt:lpstr>FLEXI+ EXT 2021</vt:lpstr>
      <vt:lpstr>FLEXI + EXT 2025</vt:lpstr>
      <vt:lpstr>INFO</vt:lpstr>
      <vt:lpstr>Feuil2</vt:lpstr>
      <vt:lpstr>Feuil3</vt:lpstr>
      <vt:lpstr>Feuil4</vt:lpstr>
      <vt:lpstr>Feuil5</vt:lpstr>
      <vt:lpstr>Feuil6</vt:lpstr>
      <vt:lpstr>Feuil7</vt:lpstr>
      <vt:lpstr>Feuil8</vt:lpstr>
      <vt:lpstr>Feuil9</vt:lpstr>
      <vt:lpstr>Feuil10</vt:lpstr>
      <vt:lpstr>Feuil11</vt:lpstr>
      <vt:lpstr>Feuil12</vt:lpstr>
      <vt:lpstr>'Examens accrédités et ajouts'!ACT_NAME_SIGN1</vt:lpstr>
      <vt:lpstr>'Examens accrédités et ajouts'!ACT_NAME_SIGN2</vt:lpstr>
      <vt:lpstr>'Examens accrédités et ajouts'!ACT_PARTICIPANTS_DATE_SIGN1</vt:lpstr>
      <vt:lpstr>'Examens accrédités et ajouts'!ACT_PARTICIPANTS_DATE_SIGN2</vt:lpstr>
      <vt:lpstr>'Examens accrédités et ajouts'!ACT_PARTICIPANTS_SIGN1</vt:lpstr>
      <vt:lpstr>'Examens accrédités et ajouts'!ACT_PARTICIPANTS_SIGN2</vt:lpstr>
      <vt:lpstr>'Examens accrédités et ajouts'!P_APPLICATION_DATE</vt:lpstr>
      <vt:lpstr>'Examens accrédités et ajouts'!P_REF</vt:lpstr>
      <vt:lpstr>'Examens accrédités et ajouts'!P_REVISION</vt:lpstr>
      <vt:lpstr>'Examens accrédités et ajouts'!P_REVISION_COMMENT</vt:lpstr>
      <vt:lpstr>'Examens accrédités et ajouts'!P_TITLE</vt:lpstr>
      <vt:lpstr>'Examens accrédités et ajouts'!P_TYPE</vt:lpstr>
      <vt:lpstr>'Examens accrédités et ajouts'!P_UNIT</vt:lpstr>
      <vt:lpstr>'FLEXI+'!Print_Area</vt:lpstr>
      <vt:lpstr>'FLEXI+'!Zone_d_impression</vt:lpstr>
    </vt:vector>
  </TitlesOfParts>
  <Company>CHU de Rouen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Claire.Fanonnel</dc:creator>
  <cp:lastModifiedBy>CATHERINE, Solenn</cp:lastModifiedBy>
  <cp:lastPrinted>2025-01-21T10:51:20Z</cp:lastPrinted>
  <dcterms:created xsi:type="dcterms:W3CDTF">2010-09-20T12:55:41Z</dcterms:created>
  <dcterms:modified xsi:type="dcterms:W3CDTF">2026-02-04T15:32:35Z</dcterms:modified>
</cp:coreProperties>
</file>